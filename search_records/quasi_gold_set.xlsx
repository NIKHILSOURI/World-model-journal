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 set" sheetId="1" state="visible" r:id="rId3"/>
    <sheet name="Summary" sheetId="2" state="visible" r:id="rId4"/>
    <sheet name="Skipped" sheetId="3" state="visible" r:id="rId5"/>
    <sheet name="String vers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<sst xmlns="http://schemas.openxmlformats.org/spreadsheetml/2006/main" count="705" uniqueCount="422">
  <si>
    <t xml:space="preserve">Quasi-gold standard: Interactive World Models for Games and Virtual Environments</t>
  </si>
  <si>
    <t xml:space="preserve">#</t>
  </si>
  <si>
    <t xml:space="preserve">Query</t>
  </si>
  <si>
    <t xml:space="preserve">Title</t>
  </si>
  <si>
    <t xml:space="preserve">Venue</t>
  </si>
  <si>
    <t xml:space="preserve">Year</t>
  </si>
  <si>
    <t xml:space="preserve">Link</t>
  </si>
  <si>
    <t xml:space="preserve">DOI</t>
  </si>
  <si>
    <t xml:space="preserve">Eligible
(Y/N/?)</t>
  </si>
  <si>
    <t xml:space="preserve">Note</t>
  </si>
  <si>
    <t xml:space="preserve">Scopus
indexed</t>
  </si>
  <si>
    <t xml:space="preserve">Scopus
retrieved</t>
  </si>
  <si>
    <t xml:space="preserve">IEEE
indexed</t>
  </si>
  <si>
    <t xml:space="preserve">IEEE
retrieved</t>
  </si>
  <si>
    <t xml:space="preserve">ACM
indexed</t>
  </si>
  <si>
    <t xml:space="preserve">ACM
retrieved</t>
  </si>
  <si>
    <t xml:space="preserve">Indexed
anywhere</t>
  </si>
  <si>
    <t xml:space="preserve">Retrieved
anywhere</t>
  </si>
  <si>
    <t xml:space="preserve">Status</t>
  </si>
  <si>
    <t xml:space="preserve">Query 1:   "world model" OR "game engine" diffusion playable game "player actions"</t>
  </si>
  <si>
    <t xml:space="preserve">Q1</t>
  </si>
  <si>
    <t xml:space="preserve">Diffusion Models Are Real-Time Game Engines (GameNGen)</t>
  </si>
  <si>
    <t xml:space="preserve">ICLR 2025</t>
  </si>
  <si>
    <t xml:space="preserve">https://proceedings.iclr.cc/paper_files/paper/2025/hash/b71ecea210f7159f31e46631fe5c838f-Abstract-Conference.html</t>
  </si>
  <si>
    <t xml:space="preserve">Y</t>
  </si>
  <si>
    <t xml:space="preserve">Diffusion neural game engine for DOOM, 20 FPS, PSNR plus human raters. No DOI: check by title.</t>
  </si>
  <si>
    <t xml:space="preserve">N</t>
  </si>
  <si>
    <t xml:space="preserve">Unbounded: A Generative Infinite Game of Character Life Simulation</t>
  </si>
  <si>
    <t xml:space="preserve">https://proceedings.iclr.cc/paper_files/paper/2025/hash/da2411768acb844b255bb6770e5a71c7-Abstract-Conference.html</t>
  </si>
  <si>
    <t xml:space="preserve">Borderline: LLM plus image model act as the game in response to player input. Fits your definition, but no learned frame-dynamics model. No DOI: check by title.</t>
  </si>
  <si>
    <t xml:space="preserve">Diffusion for World Modeling: Visual Details Matter in Atari (DIAMOND)</t>
  </si>
  <si>
    <t xml:space="preserve">NeurIPS 2024</t>
  </si>
  <si>
    <t xml:space="preserve">https://proceedings.neurips.cc/paper_files/paper/2024/hash/6bdde0373d53d4a501249547084bed43-Abstract-Conference.html</t>
  </si>
  <si>
    <t xml:space="preserve">10.52202/079017-1873</t>
  </si>
  <si>
    <t xml:space="preserve">Diffusion world model; RL agent trained inside it; playable CS:GO neural game engine.</t>
  </si>
  <si>
    <t xml:space="preserve">Pre-Trained Video Generative Models as World Simulators (DWS)</t>
  </si>
  <si>
    <t xml:space="preserve">AAAI 2026</t>
  </si>
  <si>
    <t xml:space="preserve">https://ojs.aaai.org/index.php/AAAI/article/view/42465</t>
  </si>
  <si>
    <t xml:space="preserve">10.1609/aaai.v40i6.42465</t>
  </si>
  <si>
    <t xml:space="preserve">Action-conditioned video world simulator, evaluated on games and robotics.</t>
  </si>
  <si>
    <t xml:space="preserve">Yume1.5: A Text-Controlled Interactive World Generation Model</t>
  </si>
  <si>
    <t xml:space="preserve">CVPR 2026</t>
  </si>
  <si>
    <t xml:space="preserve">https://openaccess.thecvf.com/content/CVPR2026/html/Mao_Yume1.5_A_Text-Controlled_Interactive_World_Generation_Model_CVPR_2026_paper.html</t>
  </si>
  <si>
    <t xml:space="preserve">Keyboard-explorable generated worlds, text-driven events, 12 FPS. CVPR 2026 may not be in IEEE Xplore yet: check by title. Not in Scopus (14 Oct) or IEEE Xplore (15 Oct 2026) yet: its abstract matches the string, so it would have been found if indexed. Recheck at the final search.</t>
  </si>
  <si>
    <t xml:space="preserve">AnimeGamer: Infinite Anime Life Simulation with Next Game State Prediction</t>
  </si>
  <si>
    <t xml:space="preserve">ICCV 2025</t>
  </si>
  <si>
    <t xml:space="preserve">https://doi.org/10.1109/ICCV51701.2025.01012</t>
  </si>
  <si>
    <t xml:space="preserve">10.1109/ICCV51701.2025.01012</t>
  </si>
  <si>
    <t xml:space="preserve">MLLM predicts the next game state from player instructions and past shots; video diffusion decodes it. Automated metrics plus human evaluation. Not in Scopus as of 14 Oct 2026 (proceedings not indexed yet); recheck at the final search.</t>
  </si>
  <si>
    <t xml:space="preserve">World and Human Action Models towards gameplay ideation (WHAM)</t>
  </si>
  <si>
    <t xml:space="preserve">Nature 2025</t>
  </si>
  <si>
    <t xml:space="preserve">https://www.nature.com/articles/s41586-025-08600-3</t>
  </si>
  <si>
    <t xml:space="preserve">10.1038/s41586-025-08600-3</t>
  </si>
  <si>
    <t xml:space="preserve">Generative world and action model of the game Bleeding Edge, trained on ~500k sessions. Evaluates consistency (FVD, human raters), diversity and persistency of user edits. Strong fit for the state and persistence RQ.</t>
  </si>
  <si>
    <t xml:space="preserve">Query 2:   "interactive world model" game controllability actions</t>
  </si>
  <si>
    <t xml:space="preserve">Q2</t>
  </si>
  <si>
    <t xml:space="preserve">World-In-World: World Models in a Closed-Loop World</t>
  </si>
  <si>
    <t xml:space="preserve">ICLR 2026</t>
  </si>
  <si>
    <t xml:space="preserve">https://proceedings.iclr.cc/paper_files/paper/2026/hash/5b4263be85820683d78675cc18d2efc7-Abstract-Conference.html</t>
  </si>
  <si>
    <t xml:space="preserve">Generative world models produce observations from agent actions in four simulated embodied environments, used for closed-loop planning; finds controllability matters more than visual quality. Kept under the reworded planning exclusion. No DOI: check by title. Not in Scopus as of 14 Oct 2026 (proceedings not indexed yet); recheck at the final search.</t>
  </si>
  <si>
    <t xml:space="preserve">Genie: Generative Interactive Environments</t>
  </si>
  <si>
    <t xml:space="preserve">ICML 2024</t>
  </si>
  <si>
    <t xml:space="preserve">https://proceedings.mlr.press/v235/bruce24a.html</t>
  </si>
  <si>
    <t xml:space="preserve">Playable environments generated frame by frame from unlabelled 2D platformer videos, controlled through learned latent actions. No DOI (PMLR): check by title.</t>
  </si>
  <si>
    <t xml:space="preserve">Promptable Game Models: Text-guided Game Simulation via Masked Diffusion Models</t>
  </si>
  <si>
    <t xml:space="preserve">ACM TOG 2024</t>
  </si>
  <si>
    <t xml:space="preserve">https://dl.acm.org/doi/full/10.1145/3635705</t>
  </si>
  <si>
    <t xml:space="preserve">10.1145/3635705</t>
  </si>
  <si>
    <t xml:space="preserve">Neural game simulator driven by actions and text prompts (Tennis, Minecraft); beats prior neural game simulators on rendering quality.</t>
  </si>
  <si>
    <t xml:space="preserve">COMBO: Compositional World Models for Embodied Multi-Agent Cooperation</t>
  </si>
  <si>
    <t xml:space="preserve">https://proceedings.iclr.cc/paper_files/paper/2025/hash/7d03c6bf9f07acb4038eea96c63db52d-Abstract-Conference.html</t>
  </si>
  <si>
    <t xml:space="preserve">Compositional video world model generates future states from joint agent actions in simulated multi-agent environments, used inside tree-search planning. Kept under the reworded planning exclusion. No DOI: check by title.</t>
  </si>
  <si>
    <t xml:space="preserve">Query 3:   "world model" game memory OR consistency OR persistence</t>
  </si>
  <si>
    <t xml:space="preserve">Q3</t>
  </si>
  <si>
    <t xml:space="preserve">WorldMem: Long-term Consistent World Simulation with Memory</t>
  </si>
  <si>
    <t xml:space="preserve">NeurIPS 2025</t>
  </si>
  <si>
    <t xml:space="preserve">https://proceedings.neurips.cc/paper_files/paper/2025/hash/470629a47e2d65ce0606c40055df5d26-Abstract-Conference.html</t>
  </si>
  <si>
    <t xml:space="preserve">10.52202/085713-1659</t>
  </si>
  <si>
    <t xml:space="preserve">Memory bank of frames and states for long-term consistent world simulation; virtual (Minecraft) and real scenes. Direct fit for state and persistence.</t>
  </si>
  <si>
    <t xml:space="preserve">EDELINE: Enhancing Memory in Diffusion-based World Models via Linear-Time Sequence Modeling</t>
  </si>
  <si>
    <t xml:space="preserve">https://proceedings.neurips.cc/paper_files/paper/2025/hash/97c903fbf21a7d863af2015d8803ca8f-Abstract-Conference.html</t>
  </si>
  <si>
    <t xml:space="preserve">10.52202/085713-3526</t>
  </si>
  <si>
    <t xml:space="preserve">Diffusion world model with state space memory; agents trained inside it on Atari 100k, Crafter and ViZDoom.</t>
  </si>
  <si>
    <t xml:space="preserve">Video World Models with Long-term Spatial Memory</t>
  </si>
  <si>
    <t xml:space="preserve">https://proceedings.neurips.cc/paper_files/paper/2025/hash/467655d26fcc207bca08915dc91964c6-Abstract-Conference.html</t>
  </si>
  <si>
    <t xml:space="preserve">10.52202/085713-1651</t>
  </si>
  <si>
    <t xml:space="preserve">Action and camera-controlled video world model with geometry-grounded 3D memory for consistent revisits. Navigable generated worlds, same basis as Yume1.5.</t>
  </si>
  <si>
    <t xml:space="preserve">Zero-shot World Models via Search in Memory</t>
  </si>
  <si>
    <t xml:space="preserve">https://proceedings.neurips.cc/paper_files/paper/2025/hash/da7d7341051b4e0444cc96c78f1e4df9-Abstract-Conference.html</t>
  </si>
  <si>
    <t xml:space="preserve">10.52202/085713-4969</t>
  </si>
  <si>
    <t xml:space="preserve">Borderline: dynamics come from searching stored transitions (only the VAE is trained), but it generates image observations in SuperTuxKart, MineRL and Atari and is compared with PlaNet on long-horizon prediction.</t>
  </si>
  <si>
    <t xml:space="preserve">NovaWM: An Action-Conditioned World Model for State Simulation in StarCraft II</t>
  </si>
  <si>
    <t xml:space="preserve">CMNM '26 (ACM)</t>
  </si>
  <si>
    <t xml:space="preserve">https://doi.org/10.1145/3832928.3832995</t>
  </si>
  <si>
    <t xml:space="preserve">10.1145/3832928.3832995</t>
  </si>
  <si>
    <t xml:space="preserve">Fine-tuned LLM simulates StarCraft II game state from actions, with a memory module for fog of war. 6 pages: confirm the conference counts it as a full paper.</t>
  </si>
  <si>
    <t xml:space="preserve">RLVR-World: Training World Models with Reinforcement Learning</t>
  </si>
  <si>
    <t xml:space="preserve">https://doi.org/10.52202/085713-4177</t>
  </si>
  <si>
    <t xml:space="preserve">10.52202/085713-4177</t>
  </si>
  <si>
    <t xml:space="preserve">Borderline: world models trained with RL rewards across text games, web navigation and robot manipulation. Kept on the text games, same basis as DWS (mixed domains).</t>
  </si>
  <si>
    <t xml:space="preserve">STORM: Efficient Stochastic Transformer based World Models for Reinforcement Learning</t>
  </si>
  <si>
    <t xml:space="preserve">NeurIPS 2023</t>
  </si>
  <si>
    <t xml:space="preserve">https://doi.org/10.52202/075280-1182</t>
  </si>
  <si>
    <t xml:space="preserve">10.52202/075280-1182</t>
  </si>
  <si>
    <t xml:space="preserve">Model-based RL: agent trained entirely inside a transformer world model on Atari 100k. Kept under the rule that an agent trained inside the world model counts.</t>
  </si>
  <si>
    <t xml:space="preserve">Query 4:   "world model" OR "learned simulator" game environment agents "reinforcement learning"</t>
  </si>
  <si>
    <t xml:space="preserve">Q4</t>
  </si>
  <si>
    <t xml:space="preserve">Deriving a Data-Efficient, Generalist Agent Through World Models</t>
  </si>
  <si>
    <t xml:space="preserve">IEEE Access 2026</t>
  </si>
  <si>
    <t xml:space="preserve">https://doi.org/10.1109/ACCESS.2026.3726084</t>
  </si>
  <si>
    <t xml:space="preserve">10.1109/ACCESS.2026.3726084</t>
  </si>
  <si>
    <t xml:space="preserve">One transformer world model backbone shared across 26 Atari 100k games, agent trained inside it; also a 3D first-person task.</t>
  </si>
  <si>
    <t xml:space="preserve">Increasing sample efficiency in deep reinforcement learning using generative environment modelling (DVAE-SWAGAN)</t>
  </si>
  <si>
    <t xml:space="preserve">Expert Systems 2021</t>
  </si>
  <si>
    <t xml:space="preserve">https://doi.org/10.1111/exsy.12537</t>
  </si>
  <si>
    <t xml:space="preserve">10.1111/exsy.12537</t>
  </si>
  <si>
    <t xml:space="preserve">VAE plus GAN generative model of a maze game environment for exploration in partially and fully observable settings.</t>
  </si>
  <si>
    <t xml:space="preserve">Smaller World Models for Reinforcement Learning</t>
  </si>
  <si>
    <t xml:space="preserve">Neural Processing Letters 2023</t>
  </si>
  <si>
    <t xml:space="preserve">https://doi.org/10.1007/s11063-023-11381-3</t>
  </si>
  <si>
    <t xml:space="preserve">10.1007/s11063-023-11381-3</t>
  </si>
  <si>
    <t xml:space="preserve">VQ-VAE plus ConvLSTM world model; PPO agent trained purely on simulated experience on Atari. Reports model size.</t>
  </si>
  <si>
    <t xml:space="preserve">Applying opponent and environment modelling in decentralised multi-agent reinforcement learning</t>
  </si>
  <si>
    <t xml:space="preserve">Cognitive Systems Research 2024</t>
  </si>
  <si>
    <t xml:space="preserve">https://doi.org/10.1016/j.cogsys.2024.101306</t>
  </si>
  <si>
    <t xml:space="preserve">10.1016/j.cogsys.2024.101306</t>
  </si>
  <si>
    <t xml:space="preserve">Latent world models generate synthetic experience so agents learn without the real environment; matrix games and modified StarCraft Multi-Agent Challenge.</t>
  </si>
  <si>
    <t xml:space="preserve">From Observations to Events: Event-Aware World Models for Reinforcement Learning</t>
  </si>
  <si>
    <t xml:space="preserve">https://proceedings.iclr.cc/paper_files/paper/2026</t>
  </si>
  <si>
    <t xml:space="preserve">Mixed domains: Atari 100k and Craftax plus DeepMind Control. Kept on the games, same basis as DWS. No DOI: check by title. Not in Scopus as of 14 Oct 2026 (proceedings not indexed yet); recheck at the final search.</t>
  </si>
  <si>
    <t xml:space="preserve">Open-World Reinforcement Learning over Long Short-Term Imagination (LS-Imagine)</t>
  </si>
  <si>
    <t xml:space="preserve">https://proceedings.iclr.cc/paper_files/paper/2025</t>
  </si>
  <si>
    <t xml:space="preserve">Long short-term world model with jumpy imagined transitions; agent trained in imagination in MineDojo (Minecraft). No DOI: check by title.</t>
  </si>
  <si>
    <t xml:space="preserve">Towards biologically plausible model-based reinforcement learning in recurrent spiking networks by dreaming new experiences</t>
  </si>
  <si>
    <t xml:space="preserve">Scientific Reports 2024</t>
  </si>
  <si>
    <t xml:space="preserve">https://doi.org/10.1038/s41598-024-65631-y</t>
  </si>
  <si>
    <t xml:space="preserve">10.1038/s41598-024-65631-y</t>
  </si>
  <si>
    <t xml:space="preserve">Spiking world model; agent learns from dreamed experience in Atari Pong and Boxing.</t>
  </si>
  <si>
    <t xml:space="preserve">Drama: Mamba-Enabled Model-Based Reinforcement Learning Is Sample and Parameter Efficient</t>
  </si>
  <si>
    <t xml:space="preserve">Mamba state space world model on Atari 100k with a 7M-parameter model trainable on a laptop. Useful for the compute-cost RQ. No DOI: check by title.</t>
  </si>
  <si>
    <t xml:space="preserve">Summary</t>
  </si>
  <si>
    <t xml:space="preserve">Final searches run 16 October 2026 with the v6 short strings, publication years 2018 to 2026. Blue numbers are typed in from the exports; everything else is calculated.</t>
  </si>
  <si>
    <t xml:space="preserve">1. Records per database</t>
  </si>
  <si>
    <t xml:space="preserve">Database</t>
  </si>
  <si>
    <t xml:space="preserve">Records found</t>
  </si>
  <si>
    <t xml:space="preserve">Of which 2018</t>
  </si>
  <si>
    <t xml:space="preserve">Ineligible type removed</t>
  </si>
  <si>
    <t xml:space="preserve">Kept</t>
  </si>
  <si>
    <t xml:space="preserve">Scopus</t>
  </si>
  <si>
    <t xml:space="preserve">IEEE Xplore</t>
  </si>
  <si>
    <t xml:space="preserve">ACM DL</t>
  </si>
  <si>
    <t xml:space="preserve">Total</t>
  </si>
  <si>
    <t xml:space="preserve">Ineligible type = IEEE book chapters and magazine items (the Conferences + Journals filter was not applied in IEEE). Scopus and ACM were limited to articles and conference papers in the search itself.</t>
  </si>
  <si>
    <t xml:space="preserve">2. PRISMA identification</t>
  </si>
  <si>
    <t xml:space="preserve">Step</t>
  </si>
  <si>
    <t xml:space="preserve">Records</t>
  </si>
  <si>
    <t xml:space="preserve">Records identified (all databases)</t>
  </si>
  <si>
    <t xml:space="preserve">Removed before screening: ineligible document type</t>
  </si>
  <si>
    <t xml:space="preserve">Removed before screening: duplicates</t>
  </si>
  <si>
    <t xml:space="preserve">Records to screen</t>
  </si>
  <si>
    <t xml:space="preserve">Duplicates matched by DOI (137) or by title and year when the DOI was missing (9): 143 across databases, 3 within Scopus. Record-by-record list in Deduplication_log.xlsx; the 662 records are in Deduplicated_corpus_662_records.ris.</t>
  </si>
  <si>
    <t xml:space="preserve">3. Gold set sensitivity</t>
  </si>
  <si>
    <t xml:space="preserve">Gold indexed (n)</t>
  </si>
  <si>
    <t xml:space="preserve">Gold retrieved</t>
  </si>
  <si>
    <t xml:space="preserve">Sensitivity</t>
  </si>
  <si>
    <t xml:space="preserve">95% CI low</t>
  </si>
  <si>
    <t xml:space="preserve">95% CI high</t>
  </si>
  <si>
    <t xml:space="preserve">Overall (any database)</t>
  </si>
  <si>
    <t xml:space="preserve">Target: overall sensitivity of 80% or higher. Gold papers not indexed in a database are left out of that database's n.</t>
  </si>
  <si>
    <t xml:space="preserve">z for the 95% Wilson interval</t>
  </si>
  <si>
    <t xml:space="preserve">4. Gold set status (26 papers)</t>
  </si>
  <si>
    <t xml:space="preserve">Papers</t>
  </si>
  <si>
    <t xml:space="preserve">Which papers (number in Gold set tab)</t>
  </si>
  <si>
    <t xml:space="preserve">Hit</t>
  </si>
  <si>
    <t xml:space="preserve">Found by at least one database search.</t>
  </si>
  <si>
    <t xml:space="preserve">Miss</t>
  </si>
  <si>
    <t xml:space="preserve">WHAM (7), COMBO (11), Zero-shot World Models via Search in Memory (15). Indexed but not retrieved; add through snowballing.</t>
  </si>
  <si>
    <t xml:space="preserve">Not indexed</t>
  </si>
  <si>
    <t xml:space="preserve">Yume1.5 (5), World-In-World (8), Event-Aware World Models (23). Not in Scopus, IEEE or ACM; left out of n.</t>
  </si>
  <si>
    <t xml:space="preserve">Pending</t>
  </si>
  <si>
    <t xml:space="preserve">Indexed status not yet checked.</t>
  </si>
  <si>
    <t xml:space="preserve">Not counted</t>
  </si>
  <si>
    <t xml:space="preserve">Eligible set to ? or N.</t>
  </si>
  <si>
    <t xml:space="preserve">5. Gold papers per query</t>
  </si>
  <si>
    <t xml:space="preserve">Gold papers</t>
  </si>
  <si>
    <t xml:space="preserve">Results skipped while building the gold set (report in methods)</t>
  </si>
  <si>
    <t xml:space="preserve">Reason</t>
  </si>
  <si>
    <t xml:space="preserve">Astra: General Interactive World Model with Autoregressive Denoising</t>
  </si>
  <si>
    <t xml:space="preserve">https://proceedings.iclr.cc/paper_files/paper/2026/hash/7fc516909e0b90c96bcc75a16ebee6a2-Abstract-Conference.html</t>
  </si>
  <si>
    <t xml:space="preserve">Real-world domains only (autonomous driving, robot grasping, camera motion). Not a game or virtual environment.</t>
  </si>
  <si>
    <t xml:space="preserve">MotionStream: Real-Time Video Generation with Interactive Motion Controls</t>
  </si>
  <si>
    <t xml:space="preserve">https://proceedings.iclr.cc/paper_files/paper/2026/hash/0cece806cd3d1dfad4a893f016ad3d7d-Abstract-Conference.html</t>
  </si>
  <si>
    <t xml:space="preserve">Interactive motion-controlled video generation, but no game or virtual environment and no environment state.</t>
  </si>
  <si>
    <t xml:space="preserve">Morpheus: Generating 2D Games Without Game Engines on Edge Devices</t>
  </si>
  <si>
    <t xml:space="preserve">Stanford CS229 report</t>
  </si>
  <si>
    <t xml:space="preserve">https://www.llanome.com/about/data/Morpheus_Final_Report.pdf</t>
  </si>
  <si>
    <t xml:space="preserve">Course project report, not peer-reviewed. Topic fits (latent diffusion game engine for 2D games).</t>
  </si>
  <si>
    <t xml:space="preserve">VLA and World Models for Embodied AI: A Comprehensive Survey</t>
  </si>
  <si>
    <t xml:space="preserve">Megrez Plus guide 2026</t>
  </si>
  <si>
    <t xml:space="preserve">https://www.megrez.plus/reports/files/VLA%20and%20World%20Models.pdf</t>
  </si>
  <si>
    <t xml:space="preserve">Survey published as a web guide; not peer-reviewed.</t>
  </si>
  <si>
    <t xml:space="preserve">A General Review of Large Language Model Agents in Game Applications</t>
  </si>
  <si>
    <t xml:space="preserve">ICCSIT 2025</t>
  </si>
  <si>
    <t xml:space="preserve">https://dl.acm.org/doi/full/10.1145/3783862.3783876</t>
  </si>
  <si>
    <t xml:space="preserve">Review paper (surveys are excluded), and about LLM agents playing games rather than world models.</t>
  </si>
  <si>
    <t xml:space="preserve">Narrative Pathways: A Player-Driven Approach to Interactive Fiction Text Game Generation</t>
  </si>
  <si>
    <t xml:space="preserve">Georgia Tech undergraduate thesis</t>
  </si>
  <si>
    <t xml:space="preserve">https://repository.gatech.edu/entities/publication/1323d919-d84a-4cd8-8990-f201ce324aef</t>
  </si>
  <si>
    <t xml:space="preserve">Undergraduate thesis, not peer-reviewed. Also generates game code ahead of play rather than simulating the environment.</t>
  </si>
  <si>
    <t xml:space="preserve">The Spread and Impact of Game Innovations: A Systematic Review of Academic and Applied Domains</t>
  </si>
  <si>
    <t xml:space="preserve">ACM Games 2026</t>
  </si>
  <si>
    <t xml:space="preserve">https://doi.org/10.1145/3785325</t>
  </si>
  <si>
    <t xml:space="preserve">Systematic review (surveys are excluded), and about game technology used outside entertainment, not world models.</t>
  </si>
  <si>
    <t xml:space="preserve">Duplicate of Q1.</t>
  </si>
  <si>
    <t xml:space="preserve">Duplicate of Q1 (already excluded there: real-world domains only).</t>
  </si>
  <si>
    <t xml:space="preserve">Learning Interactive Real-World Simulators (UniSim)</t>
  </si>
  <si>
    <t xml:space="preserve">ICLR 2024</t>
  </si>
  <si>
    <t xml:space="preserve">https://iclr.cc/virtual/2024/oral/19722</t>
  </si>
  <si>
    <t xml:space="preserve">Real-world simulator (robotics, navigation, real video). Not a game or virtual environment; same reason as Astra.</t>
  </si>
  <si>
    <t xml:space="preserve">Language-guided World Models: A Model-based Approach to AI Control</t>
  </si>
  <si>
    <t xml:space="preserve">SpLU-RoboNLP 2024 (ACL workshop)</t>
  </si>
  <si>
    <t xml:space="preserve">https://aclanthology.org/2024.splurobonlp-1.1/</t>
  </si>
  <si>
    <t xml:space="preserve">Workshop paper, not a journal or conference article.</t>
  </si>
  <si>
    <t xml:space="preserve">World Models: Predictive State, Generative Simulation, and Decision-Making Across Artificial Intelligence</t>
  </si>
  <si>
    <t xml:space="preserve">SSRN</t>
  </si>
  <si>
    <t xml:space="preserve">https://papers.ssrn.com/sol3/papers.cfm?abstract_id=7431278</t>
  </si>
  <si>
    <t xml:space="preserve">Broad overview of world models (survey-type paper) posted on SSRN, a preprint server. Surveys and non-peer-reviewed work are excluded.</t>
  </si>
  <si>
    <t xml:space="preserve">“Computer, Generate!” – Investigating User-Controlled Generation of Immersive Virtual Environments</t>
  </si>
  <si>
    <t xml:space="preserve">HHAI 2024 (FAIA 386)</t>
  </si>
  <si>
    <t xml:space="preserve">https://doi.org/10.3233/FAIA240196</t>
  </si>
  <si>
    <t xml:space="preserve">VR scene authoring: generative AI places content from voice and controller commands, evaluated on interaction modality. No learned model of how the environment evolves; fits a GenAI-in-XR review rather than this one.</t>
  </si>
  <si>
    <t xml:space="preserve">STEVE-1: A Generative Model for Text-to-Behavior in Minecraft</t>
  </si>
  <si>
    <t xml:space="preserve">https://proceedings.neurips.cc/paper_files/paper/2023/hash/dd03f856fc7f2efeec8b1c796284561d-Abstract-Conference.html</t>
  </si>
  <si>
    <t xml:space="preserve">Generates agent behaviour (keyboard and mouse actions) inside the real Minecraft game. It is a policy, not a world model; the environment is not generated.</t>
  </si>
  <si>
    <t xml:space="preserve">How Should World Models Be Evaluated for Embodied Decision-Making? A Decision-Making-Centric Position</t>
  </si>
  <si>
    <t xml:space="preserve">arXiv preprint 2026</t>
  </si>
  <si>
    <t xml:space="preserve">https://cspaper.org/openprint/20260726.0001v1.pdf</t>
  </si>
  <si>
    <t xml:space="preserve">Preprint, and a position paper with no experiments of its own.</t>
  </si>
  <si>
    <t xml:space="preserve">Generative World Models for Multi-Agent Coordination and Decision-Making in Complex Virtual Environments</t>
  </si>
  <si>
    <t xml:space="preserve">Computer Science and Engineering Transactions 2026</t>
  </si>
  <si>
    <t xml:space="preserve">https://cse-t.org/index.php/home/article/view/168</t>
  </si>
  <si>
    <t xml:space="preserve">Discussion paper with no experiments or evaluation (opinion papers and studies without meaningful evaluation are excluded). New journal (Vol. 1, No. 1), unlikely to be indexed in Scopus, IEEE or ACM.</t>
  </si>
  <si>
    <t xml:space="preserve">Action-Aware World Models for Long-Horizon Robotic Manipulation and Task Planning</t>
  </si>
  <si>
    <t xml:space="preserve">AIMLS 2026</t>
  </si>
  <si>
    <t xml:space="preserve">https://aiamls.org/index.php/homepage/article/view/147</t>
  </si>
  <si>
    <t xml:space="preserve">Real-world robotics, and a discussion paper with no experiments.</t>
  </si>
  <si>
    <t xml:space="preserve">TechRxiv preprint (title not read)</t>
  </si>
  <si>
    <t xml:space="preserve">TechRxiv</t>
  </si>
  <si>
    <t xml:space="preserve">https://www.techrxiv.org/doi/full/10.36227/techrxiv.176531987.77979037/v1</t>
  </si>
  <si>
    <t xml:space="preserve">Preprint server, not peer-reviewed. Page could not be opened; keep only if a published version exists.</t>
  </si>
  <si>
    <t xml:space="preserve">RoboScape: Physics-informed Embodied World Model</t>
  </si>
  <si>
    <t xml:space="preserve">https://proceedings.neurips.cc/paper_files/paper/2025/hash/5c1ff00b27ba052039bb41531236baac-Abstract-Conference.html</t>
  </si>
  <si>
    <t xml:space="preserve">Real-world robot video world model. Not a game or virtual environment; same reason as UniSim.</t>
  </si>
  <si>
    <t xml:space="preserve">GenieDrive: Towards Physics-Aware Driving World Model with 4D Occupancy Guided Video Generation</t>
  </si>
  <si>
    <t xml:space="preserve">https://openaccess.thecvf.com/content/CVPR2026/html/Yang_GenieDrive_Towards_Physics-Aware_Driving_World_Model_with_4D_Occupancy_Guided_CVPR_2026_paper.html</t>
  </si>
  <si>
    <t xml:space="preserve">Driving world model built on real driving footage. Not a game or virtual environment; same reason as Astra.</t>
  </si>
  <si>
    <t xml:space="preserve">World Models for Embodied and Physical AI: An Objective-Subjective Taxonomy</t>
  </si>
  <si>
    <t xml:space="preserve">WMEAI 2026 workshop poster</t>
  </si>
  <si>
    <t xml:space="preserve">https://openreview.net/forum?id=VwDLQM2K4Z</t>
  </si>
  <si>
    <t xml:space="preserve">Workshop poster, and a taxonomy paper with no experiments, focused on embodied and physical AI.</t>
  </si>
  <si>
    <t xml:space="preserve">Toward Memory-Aided World Models: Benchmarking via Spatial Consistency (later LoopNav)</t>
  </si>
  <si>
    <t xml:space="preserve">ICLR 2026 submission</t>
  </si>
  <si>
    <t xml:space="preserve">https://openreview.net/forum?id=uDmxJ6133n</t>
  </si>
  <si>
    <t xml:space="preserve">Not accepted at ICLR 2026; a renamed version (LoopNav) appeared only as an ICML 2026 workshop poster. Workshop papers are excluded.</t>
  </si>
  <si>
    <t xml:space="preserve">Recurrent World Models Facilitate Policy Evolution</t>
  </si>
  <si>
    <t xml:space="preserve">NeurIPS 2018</t>
  </si>
  <si>
    <t xml:space="preserve">https://proceedings.neurips.cc/paper_files/paper/2018</t>
  </si>
  <si>
    <t xml:space="preserve">Skipped because the gold set was built for 2019 to 2026. The search range is now 2018 to 2026, but none of the three final exports (16 Oct 2026) contains it. Add it to the review manually as foundational work.</t>
  </si>
  <si>
    <t xml:space="preserve">Evaluating the World Model Implicit in a Generative Model</t>
  </si>
  <si>
    <t xml:space="preserve">https://doi.org/10.52202/079017-0846</t>
  </si>
  <si>
    <t xml:space="preserve">Tests whether sequence models implicitly represent world state; does not simulate an interactive environment.</t>
  </si>
  <si>
    <t xml:space="preserve">Web Agents with World Models: Learning and Leveraging Environment Dynamics in Web Navigation</t>
  </si>
  <si>
    <t xml:space="preserve">https://proceedings.iclr.cc/paper_files/paper/2025/hash/a00548031e4647b13042c97c922fadf1-Abstract-Conference.html</t>
  </si>
  <si>
    <t xml:space="preserve">Web navigation, not a game or virtual environment.</t>
  </si>
  <si>
    <t xml:space="preserve">Simplifying Latent Dynamics with Softly State-Invariant World Models</t>
  </si>
  <si>
    <t xml:space="preserve">https://doi.org/10.52202/079017-1212</t>
  </si>
  <si>
    <t xml:space="preserve">Predicts latent states only, as a planning and RL aid; generates no observations.</t>
  </si>
  <si>
    <t xml:space="preserve">Understanding World or Predicting Future? A Comprehensive Survey of World Models</t>
  </si>
  <si>
    <t xml:space="preserve">ACM CSUR 2025</t>
  </si>
  <si>
    <t xml:space="preserve">https://doi.org/10.1145/3746449</t>
  </si>
  <si>
    <t xml:space="preserve">Survey. Use it in the related-surveys comparison section.</t>
  </si>
  <si>
    <t xml:space="preserve">WorldGym: World Model as An Environment for Policy Evaluation</t>
  </si>
  <si>
    <t xml:space="preserve">Real-world robot policy evaluation. Not a game or virtual environment; same reason as UniSim.</t>
  </si>
  <si>
    <t xml:space="preserve">Duplicate of Q1 (already excluded there as a review).</t>
  </si>
  <si>
    <t xml:space="preserve">WALL-E: World Alignment by NeuroSymbolic Learning improves World Model-based LLM Agents</t>
  </si>
  <si>
    <t xml:space="preserve">https://doi.org/10.52202/085713-2192</t>
  </si>
  <si>
    <t xml:space="preserve">World model is LLM-extracted rules that check an agent's planned actions; it does not generate observations, and the evaluation is agent task success.</t>
  </si>
  <si>
    <t xml:space="preserve">World Models for Web Agents</t>
  </si>
  <si>
    <t xml:space="preserve">Sys2-Reasoning workshop 2024</t>
  </si>
  <si>
    <t xml:space="preserve">https://openreview.net/forum?id=NWU6AaJv48</t>
  </si>
  <si>
    <t xml:space="preserve">Workshop poster, web navigation, and an earlier version of the ICLR 2025 web agents paper.</t>
  </si>
  <si>
    <t xml:space="preserve">World Model as a Graph: Learning Latent Landmarks for Planning</t>
  </si>
  <si>
    <t xml:space="preserve">ICML 2021</t>
  </si>
  <si>
    <t xml:space="preserve">https://proceedings.mlr.press/v139/zhang21x.html</t>
  </si>
  <si>
    <t xml:space="preserve">Latent graph used for planning in robotic control tasks; generates no observations.</t>
  </si>
  <si>
    <t xml:space="preserve">Active World Model Learning with Progress Curiosity</t>
  </si>
  <si>
    <t xml:space="preserve">ICML 2020</t>
  </si>
  <si>
    <t xml:space="preserve">https://proceedings.mlr.press/v119/kim20e.html</t>
  </si>
  <si>
    <t xml:space="preserve">Focus is curiosity-driven exploration; the world model predicts other agents' behaviour rather than the environment's response to the learner's actions.</t>
  </si>
  <si>
    <t xml:space="preserve">Object-Centric World Models from Few-Shot Annotations for Sample-Efficient Reinforcement Learning (OC-STORM)</t>
  </si>
  <si>
    <t xml:space="preserve">ELIGIBLE, over the 8-per-query cap (Atari 100k and Hollow Knight). Use as a backup if a gold paper turns out ineligible.</t>
  </si>
  <si>
    <t xml:space="preserve">The Effectiveness of World Models for Continual Reinforcement Learning (Continual-Dreamer)</t>
  </si>
  <si>
    <t xml:space="preserve">CoLLAs 2023 (PMLR 232)</t>
  </si>
  <si>
    <t xml:space="preserve">https://proceedings.mlr.press/v232/kessler23a.html</t>
  </si>
  <si>
    <t xml:space="preserve">ELIGIBLE, over the 8-per-query cap (Minigrid and MiniHack). Use as a backup if a gold paper turns out ineligible.</t>
  </si>
  <si>
    <t xml:space="preserve">Exploring the limits of hierarchical world models in reinforcement learning</t>
  </si>
  <si>
    <t xml:space="preserve">https://doi.org/10.1038/s41598-024-76719-w</t>
  </si>
  <si>
    <t xml:space="preserve">Navigation and robot control benchmarks (Nav2d, PointMaze, Reacher, HalfCheetah), not games.</t>
  </si>
  <si>
    <t xml:space="preserve">Learning and Planning Multi-Agent Tasks via an MoE-based World Model (M3W)</t>
  </si>
  <si>
    <t xml:space="preserve">https://proceedings.neurips.cc/paper_files/paper/2025/vol38-main-conference</t>
  </si>
  <si>
    <t xml:space="preserve">Robot hand and MuJoCo control benchmarks, not games.</t>
  </si>
  <si>
    <t xml:space="preserve">A survey on model-based reinforcement learning</t>
  </si>
  <si>
    <t xml:space="preserve">Science China Information Sciences 2024</t>
  </si>
  <si>
    <t xml:space="preserve">https://doi.org/10.1007/s11432-022-3696-5</t>
  </si>
  <si>
    <t xml:space="preserve">Interpretable World Model Imaginations as Deep Reinforcement Learning Explanation</t>
  </si>
  <si>
    <t xml:space="preserve">xAI 2025 (CCIS)</t>
  </si>
  <si>
    <t xml:space="preserve">https://doi.org/10.1007/978-3-032-08327-2_7</t>
  </si>
  <si>
    <t xml:space="preserve">Focus is explaining agent decisions; the world model is used as a tool, not studied as an environment.</t>
  </si>
  <si>
    <t xml:space="preserve">DayDreamer: World Models for Physical Robot Learning</t>
  </si>
  <si>
    <t xml:space="preserve">CoRL 2022 (PMLR 205)</t>
  </si>
  <si>
    <t xml:space="preserve">https://proceedings.mlr.press/v205/</t>
  </si>
  <si>
    <t xml:space="preserve">Real robots.</t>
  </si>
  <si>
    <t xml:space="preserve">Link only: d-nb.info/134898256X</t>
  </si>
  <si>
    <t xml:space="preserve">Deutsche Nationalbibliothek</t>
  </si>
  <si>
    <t xml:space="preserve">https://d-nb.info/134898256X/34</t>
  </si>
  <si>
    <t xml:space="preserve">No title given. This site mainly hosts German theses, so likely excluded. Send the title to check.</t>
  </si>
  <si>
    <t xml:space="preserve">Enhancing multi-agent reinforcement learning via world model assisted single-agent population policies in multi-UAV cooperative-competitive scenario</t>
  </si>
  <si>
    <t xml:space="preserve">Knowledge-Based Systems 2025</t>
  </si>
  <si>
    <t xml:space="preserve">https://doi.org/10.1016/j.knosys.2025.114534</t>
  </si>
  <si>
    <t xml:space="preserve">UAV combat simulation; 'game' here means a game-theoretic contest, not a video game or virtual world.</t>
  </si>
  <si>
    <t xml:space="preserve">Deep learning, reinforcement learning, and world models</t>
  </si>
  <si>
    <t xml:space="preserve">Neural Networks 2022</t>
  </si>
  <si>
    <t xml:space="preserve">https://doi.org/10.1016/j.neunet.2022.03.037</t>
  </si>
  <si>
    <t xml:space="preserve">Review summarising symposium talks.</t>
  </si>
  <si>
    <t xml:space="preserve">Intelligent games meeting with multi-agent deep reinforcement learning: a comprehensive review</t>
  </si>
  <si>
    <t xml:space="preserve">Artificial Intelligence Review 2025</t>
  </si>
  <si>
    <t xml:space="preserve">https://doi.org/10.1007/s10462-025-11166-1</t>
  </si>
  <si>
    <t xml:space="preserve">Review.</t>
  </si>
  <si>
    <t xml:space="preserve">Do Embodied Agents Dream of Pixelated Sheep (DECKARD)</t>
  </si>
  <si>
    <t xml:space="preserve">ICML 2023</t>
  </si>
  <si>
    <t xml:space="preserve">https://proceedings.mlr.press/v202/</t>
  </si>
  <si>
    <t xml:space="preserve">LLM-written subgoal map used for planning; the agent acts in the real Minecraft and nothing simulates the environment.</t>
  </si>
  <si>
    <t xml:space="preserve">CURL: Contrastive Unsupervised Representations for Reinforcement Learning</t>
  </si>
  <si>
    <t xml:space="preserve">https://proceedings.mlr.press/v119/</t>
  </si>
  <si>
    <t xml:space="preserve">No world model (model-free representation learning).</t>
  </si>
  <si>
    <t xml:space="preserve">Accelerating Model-Based Reinforcement Learning with State-Space World Models</t>
  </si>
  <si>
    <t xml:space="preserve">ICLR 2025 World Models workshop</t>
  </si>
  <si>
    <t xml:space="preserve">https://openreview.net/forum?id=q5s1aRmRQm</t>
  </si>
  <si>
    <t xml:space="preserve">Workshop paper, and real quadrotor flight.</t>
  </si>
  <si>
    <t xml:space="preserve">Object-Centric World Models for Causality-Aware Reinforcement Learning (STICA)</t>
  </si>
  <si>
    <t xml:space="preserve">https://doi.org/10.1609/aaai.v40i29.39642</t>
  </si>
  <si>
    <t xml:space="preserve">Safety Gym and robot-arm tasks, not games.</t>
  </si>
  <si>
    <t xml:space="preserve">A Practitioner's Guide to Multi-Turn Agentic Reinforcement Learning</t>
  </si>
  <si>
    <t xml:space="preserve">Under review (anonymous)</t>
  </si>
  <si>
    <t xml:space="preserve">Not published, and about LLM agents without a world model.</t>
  </si>
  <si>
    <t xml:space="preserve">https://doi.org/10.52202/079017-1873</t>
  </si>
  <si>
    <t xml:space="preserve">Spiking world model with multicompartment neurons for model-based reinforcement learning</t>
  </si>
  <si>
    <t xml:space="preserve">PNAS 2025</t>
  </si>
  <si>
    <t xml:space="preserve">https://doi.org/10.1073/pnas.2513319122</t>
  </si>
  <si>
    <t xml:space="preserve">DeepMind Control Suite and speech datasets, not games.</t>
  </si>
  <si>
    <t xml:space="preserve">MAMBA: an Effective World Model Approach for Meta-Reinforcement Learning</t>
  </si>
  <si>
    <t xml:space="preserve">https://iclr.cc/virtual/2024/poster/19589</t>
  </si>
  <si>
    <t xml:space="preserve">Navigation and robot control benchmarks (Point Robot, Reacher, Panda, Humanoid), not games.</t>
  </si>
  <si>
    <t xml:space="preserve">Objects matter: object-centric world models improve reinforcement learning in visually complex environments</t>
  </si>
  <si>
    <t xml:space="preserve">ICLR 2025 submission</t>
  </si>
  <si>
    <t xml:space="preserve">https://openreview.net/forum?id=Q2hkp8WIDS</t>
  </si>
  <si>
    <t xml:space="preserve">Not accepted at ICLR 2025; the published version is OC-STORM (ICLR 2026).</t>
  </si>
  <si>
    <t xml:space="preserve">Reinforcement Learning with a Disentangled Universal Value Function for Item Recommendation</t>
  </si>
  <si>
    <t xml:space="preserve">AAAI 2021</t>
  </si>
  <si>
    <t xml:space="preserve">https://doi.org/10.1609/aaai.v35i5.16569</t>
  </si>
  <si>
    <t xml:space="preserve">Recommender systems, not a game.</t>
  </si>
  <si>
    <t xml:space="preserve">Predicting Future Actions of Reinforcement Learning Agents</t>
  </si>
  <si>
    <t xml:space="preserve">https://proceedings.neurips.cc/paper_files/paper/2024</t>
  </si>
  <si>
    <t xml:space="preserve">About predicting agent behaviour for safety; the world model is a tool.</t>
  </si>
  <si>
    <t xml:space="preserve">DreamerPro: Reconstruction-Free Model-Based Reinforcement Learning with Prototypical Representations</t>
  </si>
  <si>
    <t xml:space="preserve">ICML 2022</t>
  </si>
  <si>
    <t xml:space="preserve">https://proceedings.mlr.press/v162/deng22a.html</t>
  </si>
  <si>
    <t xml:space="preserve">DeepMind Control Suite, not games.</t>
  </si>
  <si>
    <t xml:space="preserve">Search string revision log</t>
  </si>
  <si>
    <t xml:space="preserve">Version</t>
  </si>
  <si>
    <t xml:space="preserve">Date</t>
  </si>
  <si>
    <t xml:space="preserve">Change</t>
  </si>
  <si>
    <t xml:space="preserve">Scopus hits</t>
  </si>
  <si>
    <t xml:space="preserve">IEEE hits</t>
  </si>
  <si>
    <t xml:space="preserve">ACM hits</t>
  </si>
  <si>
    <t xml:space="preserve">Overall sensitivity</t>
  </si>
  <si>
    <t xml:space="preserve">v0</t>
  </si>
  <si>
    <t xml:space="preserve">Current string (hit counts from your SLR method notes)</t>
  </si>
  <si>
    <t xml:space="preserve">v1</t>
  </si>
  <si>
    <t xml:space="preserve">Starter two-block string: world-model terms AND game or virtual-world terms. Predicted from the Scopus gold export: 14 of 22 indexed gold papers (63.6%), about 1,050 Scopus records (estimated from the v2 export).</t>
  </si>
  <si>
    <t xml:space="preserve">v2</t>
  </si>
  <si>
    <t xml:space="preserve">15 Oct 2026</t>
  </si>
  <si>
    <t xml:space="preserve">Added to A: "model-based RL", "infinite game*". Added to B: atari* (was atari), "simulated environment*", "generated environment*", "generated world*". Confirmed in Scopus: 19 of 22 indexed gold papers. Too noisy: "game simulat*" alone added about 670 off-topic records (serious games, education) and "infinite game*" about 120 (game theory).</t>
  </si>
  <si>
    <t xml:space="preserve">v3</t>
  </si>
  <si>
    <t xml:space="preserve">Replaced "game simulat*" with "video game simulat*" and "infinite game*" with "generative infinite game*". Confirmed in Scopus: 480 records, 19 of 22 indexed gold papers. Misses (WHAM, COMBO, Zero-shot World Models) reported as snowballing.</t>
  </si>
  <si>
    <t xml:space="preserve">v3 (IEEE)</t>
  </si>
  <si>
    <t xml:space="preserve">v3 translated for IEEE. 680 records before limits, 391 within 2019 to 2026 and journal or conference. Found 1 of 2 IEEE-indexed gold papers (missed AnimeGamer). IEEE reads wildcards inside quotes ("world model*") as separate words, which roughly doubles the noise.</t>
  </si>
  <si>
    <t xml:space="preserve">v4 (IEEE)</t>
  </si>
  <si>
    <t xml:space="preserve">IEEE: no wildcards inside quotes, variants spelled out; added "game state prediction" to A (finds AnimeGamer). 473 records before limits, 273 within 2019 to 2026 and journal or conference. Found 2 of 2 IEEE-indexed gold papers. "explorable world*" added nothing and is dropped from the final strings.</t>
  </si>
  <si>
    <t xml:space="preserve">v5 Scopus (long)</t>
  </si>
  <si>
    <t xml:space="preserve">v3 plus "game state prediction". Year, document type and language limits inside the string. 481 records (1 more than v3). 19 of 22 indexed gold papers.</t>
  </si>
  <si>
    <t xml:space="preserve">v5 IEEE (long)</t>
  </si>
  <si>
    <t xml:space="preserve">v4 without "explorable world(s)". Year filter 2019 to 2026 applied in IEEE. 299 records, of which 26 are book chapters or magazine articles: remove them before screening as ineligible document type, leaving 273. 2 of 2 indexed gold papers.</t>
  </si>
  <si>
    <t xml:space="preserve">v5 ACM (long)</t>
  </si>
  <si>
    <t xml:space="preserve">Same terms as the final Scopus and IEEE strings, written for ACM (Title, Abstract and Keyword fields; publication date 2019 to 2026). 32 records. 2 of 2 indexed gold papers (Promptable Game Models, NovaWM).</t>
  </si>
  <si>
    <t xml:space="preserve">v5 all (long)</t>
  </si>
  <si>
    <t xml:space="preserve">786 records (Scopus 481, IEEE 273 after removing 26 book chapters and magazine items, ACM 32). About 143 duplicates across databases, about 643 unique (preliminary). Overall: 20 of 23 indexed gold papers retrieved.</t>
  </si>
  <si>
    <t xml:space="preserve">v6 short (tested)</t>
  </si>
  <si>
    <t xml:space="preserve">16 Oct 2026</t>
  </si>
  <si>
    <t xml:space="preserve">Final strings cut from 32 to 20 terms (Scopus). Dropped terms that found no gold paper and only added off-topic records (neural/learned simulators, next-frame prediction, action-conditioned video, playable worlds, game engine phrasings, generated worlds, videogame*). Tested on the 15 Oct exports: all 20 found gold papers kept; about 15 Scopus and 9 IEEE off-topic records drop, ACM unchanged. Expected about 466 / 290 / 32.</t>
  </si>
  <si>
    <t xml:space="preserve">~466</t>
  </si>
  <si>
    <t xml:space="preserve">~290</t>
  </si>
  <si>
    <t xml:space="preserve">~32</t>
  </si>
  <si>
    <t xml:space="preserve">FINAL Scopus</t>
  </si>
  <si>
    <t xml:space="preserve">v6 short string run with years 2018 to 2026. 491 records: 466 from 2019 to 2026 (as predicted) plus 25 from 2018. 19 of 22 indexed gold papers, same as before.</t>
  </si>
  <si>
    <t xml:space="preserve">FINAL IEEE</t>
  </si>
  <si>
    <t xml:space="preserve">v6 short string, year filter 2018 to 2026. 307 records, of which 25 are book chapters or magazine articles (content type filter not applied): remove them before screening as ineligible document type, leaving 282. 2 of 2 indexed gold papers.</t>
  </si>
  <si>
    <t xml:space="preserve">FINAL ACM</t>
  </si>
  <si>
    <t xml:space="preserve">v6 short string, publication date 2018 to 2026. 35 records (31 from 2019 to 2026, 4 from 2018). 2 of 2 indexed gold papers (Promptable Game Models, NovaWM).</t>
  </si>
  <si>
    <t xml:space="preserve">ALL FINAL</t>
  </si>
  <si>
    <t xml:space="preserve">833 records identified (Scopus 491, IEEE 307, ACM 35). Removed before screening: 25 IEEE book chapters and magazine items, 146 duplicates (automatic DOI and title match). 662 unique records to screen. Overall: 20 of 23 indexed gold papers retrieved.</t>
  </si>
  <si>
    <t xml:space="preserve">After testing each version, type its overall sensitivity from the Summary tab into column G as a number, so it stays fixed when you test the next version.</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</si>
</sst>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color rgb="FFFFFFFF"/>
      <name val="Arial"/>
      <family val="0"/>
      <charset val="1"/>
    </font>
    <font>
      <b val="true"/>
      <sz val="10"/>
      <color rgb="FF1F3A5F"/>
      <name val="Arial"/>
      <family val="0"/>
      <charset val="1"/>
    </font>
    <font>
      <sz val="10"/>
      <name val="Arial"/>
      <family val="0"/>
      <charset val="1"/>
    </font>
    <font>
      <u val="single"/>
      <sz val="10"/>
      <color rgb="FF1F5FA8"/>
      <name val="Arial"/>
      <family val="0"/>
      <charset val="1"/>
    </font>
    <font>
      <sz val="10"/>
      <color rgb="FF0000FF"/>
      <name val="Arial"/>
      <family val="0"/>
      <charset val="1"/>
    </font>
    <font>
      <i val="true"/>
      <sz val="9"/>
      <color rgb="FF555555"/>
      <name val="Arial"/>
      <family val="0"/>
      <charset val="1"/>
    </font>
    <font>
      <b val="true"/>
      <sz val="11"/>
      <color rgb="FF1F3A5F"/>
      <name val="Arial"/>
      <family val="0"/>
      <charset val="1"/>
    </font>
    <font>
      <b val="true"/>
      <sz val="10"/>
      <name val="Arial"/>
      <family val="0"/>
      <charset val="1"/>
    </font>
  </fonts>
  <fills count="6">
    <fill>
      <patternFill patternType="none"/>
    </fill>
    <fill>
      <patternFill patternType="gray125"/>
    </fill>
    <fill>
      <patternFill patternType="solid">
        <fgColor rgb="FF2F4F6F"/>
        <bgColor rgb="FF1F3A5F"/>
      </patternFill>
    </fill>
    <fill>
      <patternFill patternType="solid">
        <fgColor rgb="FFDCE6F0"/>
        <bgColor rgb="FFE7EEF5"/>
      </patternFill>
    </fill>
    <fill>
      <patternFill patternType="solid">
        <fgColor rgb="FFFFF2CC"/>
        <bgColor rgb="FFEDEDED"/>
      </patternFill>
    </fill>
    <fill>
      <patternFill patternType="solid">
        <fgColor rgb="FFE7EEF5"/>
        <bgColor rgb="FFEDEDED"/>
      </patternFill>
    </fill>
  </fills>
  <borders count="2">
    <border diagonalUp="false" diagonalDown="false">
      <left/>
      <right/>
      <top/>
      <bottom/>
      <diagonal/>
    </border>
    <border diagonalUp="false" diagonalDown="false">
      <left style="thin">
        <color rgb="FFC8CED6"/>
      </left>
      <right style="thin">
        <color rgb="FFC8CED6"/>
      </right>
      <top style="thin">
        <color rgb="FFC8CED6"/>
      </top>
      <bottom style="thin">
        <color rgb="FFC8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5" fontId="12" fillId="5"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6" fontId="12" fillId="5"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6" fontId="7"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9EAD3"/>
        </patternFill>
      </fill>
    </dxf>
    <dxf>
      <fill>
        <patternFill>
          <bgColor rgb="FFF4CC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ED6"/>
      <rgbColor rgb="FF808080"/>
      <rgbColor rgb="FF9999FF"/>
      <rgbColor rgb="FF993366"/>
      <rgbColor rgb="FFFFF2CC"/>
      <rgbColor rgb="FFE7EEF5"/>
      <rgbColor rgb="FF660066"/>
      <rgbColor rgb="FFFF8080"/>
      <rgbColor rgb="FF1F5FA8"/>
      <rgbColor rgb="FFEDEDED"/>
      <rgbColor rgb="FF000080"/>
      <rgbColor rgb="FFFF00FF"/>
      <rgbColor rgb="FFFFFF00"/>
      <rgbColor rgb="FF00FFFF"/>
      <rgbColor rgb="FF800080"/>
      <rgbColor rgb="FF800000"/>
      <rgbColor rgb="FF008080"/>
      <rgbColor rgb="FF0000FF"/>
      <rgbColor rgb="FF00CCFF"/>
      <rgbColor rgb="FFDCE6F0"/>
      <rgbColor rgb="FFD9EAD3"/>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roceedings.iclr.cc/paper_files/paper/2025/hash/b71ecea210f7159f31e46631fe5c838f-Abstract-Conference.html" TargetMode="External"/><Relationship Id="rId2" Type="http://schemas.openxmlformats.org/officeDocument/2006/relationships/hyperlink" Target="https://proceedings.iclr.cc/paper_files/paper/2025/hash/da2411768acb844b255bb6770e5a71c7-Abstract-Conference.html" TargetMode="External"/><Relationship Id="rId3" Type="http://schemas.openxmlformats.org/officeDocument/2006/relationships/hyperlink" Target="https://proceedings.neurips.cc/paper_files/paper/2024/hash/6bdde0373d53d4a501249547084bed43-Abstract-Conference.html" TargetMode="External"/><Relationship Id="rId4" Type="http://schemas.openxmlformats.org/officeDocument/2006/relationships/hyperlink" Target="https://ojs.aaai.org/index.php/AAAI/article/view/42465" TargetMode="External"/><Relationship Id="rId5" Type="http://schemas.openxmlformats.org/officeDocument/2006/relationships/hyperlink" Target="https://openaccess.thecvf.com/content/CVPR2026/html/Mao_Yume1.5_A_Text-Controlled_Interactive_World_Generation_Model_CVPR_2026_paper.html" TargetMode="External"/><Relationship Id="rId6" Type="http://schemas.openxmlformats.org/officeDocument/2006/relationships/hyperlink" Target="https://doi.org/10.1109/ICCV51701.2025.01012" TargetMode="External"/><Relationship Id="rId7" Type="http://schemas.openxmlformats.org/officeDocument/2006/relationships/hyperlink" Target="https://www.nature.com/articles/s41586-025-08600-3" TargetMode="External"/><Relationship Id="rId8" Type="http://schemas.openxmlformats.org/officeDocument/2006/relationships/hyperlink" Target="https://proceedings.iclr.cc/paper_files/paper/2026/hash/5b4263be85820683d78675cc18d2efc7-Abstract-Conference.html" TargetMode="External"/><Relationship Id="rId9" Type="http://schemas.openxmlformats.org/officeDocument/2006/relationships/hyperlink" Target="https://proceedings.mlr.press/v235/bruce24a.html" TargetMode="External"/><Relationship Id="rId10" Type="http://schemas.openxmlformats.org/officeDocument/2006/relationships/hyperlink" Target="https://dl.acm.org/doi/full/10.1145/3635705" TargetMode="External"/><Relationship Id="rId11" Type="http://schemas.openxmlformats.org/officeDocument/2006/relationships/hyperlink" Target="https://proceedings.iclr.cc/paper_files/paper/2025/hash/7d03c6bf9f07acb4038eea96c63db52d-Abstract-Conference.html" TargetMode="External"/><Relationship Id="rId12" Type="http://schemas.openxmlformats.org/officeDocument/2006/relationships/hyperlink" Target="https://proceedings.neurips.cc/paper_files/paper/2025/hash/470629a47e2d65ce0606c40055df5d26-Abstract-Conference.html" TargetMode="External"/><Relationship Id="rId13" Type="http://schemas.openxmlformats.org/officeDocument/2006/relationships/hyperlink" Target="https://proceedings.neurips.cc/paper_files/paper/2025/hash/97c903fbf21a7d863af2015d8803ca8f-Abstract-Conference.html" TargetMode="External"/><Relationship Id="rId14" Type="http://schemas.openxmlformats.org/officeDocument/2006/relationships/hyperlink" Target="https://proceedings.neurips.cc/paper_files/paper/2025/hash/467655d26fcc207bca08915dc91964c6-Abstract-Conference.html" TargetMode="External"/><Relationship Id="rId15" Type="http://schemas.openxmlformats.org/officeDocument/2006/relationships/hyperlink" Target="https://proceedings.neurips.cc/paper_files/paper/2025/hash/da7d7341051b4e0444cc96c78f1e4df9-Abstract-Conference.html" TargetMode="External"/><Relationship Id="rId16" Type="http://schemas.openxmlformats.org/officeDocument/2006/relationships/hyperlink" Target="https://doi.org/10.1145/3832928.3832995" TargetMode="External"/><Relationship Id="rId17" Type="http://schemas.openxmlformats.org/officeDocument/2006/relationships/hyperlink" Target="https://doi.org/10.52202/085713-4177" TargetMode="External"/><Relationship Id="rId18" Type="http://schemas.openxmlformats.org/officeDocument/2006/relationships/hyperlink" Target="https://doi.org/10.52202/075280-1182" TargetMode="External"/><Relationship Id="rId19" Type="http://schemas.openxmlformats.org/officeDocument/2006/relationships/hyperlink" Target="https://doi.org/10.1109/ACCESS.2026.3726084" TargetMode="External"/><Relationship Id="rId20" Type="http://schemas.openxmlformats.org/officeDocument/2006/relationships/hyperlink" Target="https://doi.org/10.1111/exsy.12537" TargetMode="External"/><Relationship Id="rId21" Type="http://schemas.openxmlformats.org/officeDocument/2006/relationships/hyperlink" Target="https://doi.org/10.1007/s11063-023-11381-3" TargetMode="External"/><Relationship Id="rId22" Type="http://schemas.openxmlformats.org/officeDocument/2006/relationships/hyperlink" Target="https://doi.org/10.1016/j.cogsys.2024.101306" TargetMode="External"/><Relationship Id="rId23" Type="http://schemas.openxmlformats.org/officeDocument/2006/relationships/hyperlink" Target="https://proceedings.iclr.cc/paper_files/paper/2026" TargetMode="External"/><Relationship Id="rId24" Type="http://schemas.openxmlformats.org/officeDocument/2006/relationships/hyperlink" Target="https://proceedings.iclr.cc/paper_files/paper/2025" TargetMode="External"/><Relationship Id="rId25" Type="http://schemas.openxmlformats.org/officeDocument/2006/relationships/hyperlink" Target="https://doi.org/10.1038/s41598-024-65631-y" TargetMode="External"/><Relationship Id="rId26" Type="http://schemas.openxmlformats.org/officeDocument/2006/relationships/hyperlink" Target="https://proceedings.iclr.cc/paper_files/paper/2025"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proceedings.iclr.cc/paper_files/paper/2026/hash/7fc516909e0b90c96bcc75a16ebee6a2-Abstract-Conference.html" TargetMode="External"/><Relationship Id="rId2" Type="http://schemas.openxmlformats.org/officeDocument/2006/relationships/hyperlink" Target="https://proceedings.iclr.cc/paper_files/paper/2026/hash/0cece806cd3d1dfad4a893f016ad3d7d-Abstract-Conference.html" TargetMode="External"/><Relationship Id="rId3" Type="http://schemas.openxmlformats.org/officeDocument/2006/relationships/hyperlink" Target="https://www.llanome.com/about/data/Morpheus_Final_Report.pdf" TargetMode="External"/><Relationship Id="rId4" Type="http://schemas.openxmlformats.org/officeDocument/2006/relationships/hyperlink" Target="https://www.megrez.plus/reports/files/VLA%20and%20World%20Models.pdf" TargetMode="External"/><Relationship Id="rId5" Type="http://schemas.openxmlformats.org/officeDocument/2006/relationships/hyperlink" Target="https://dl.acm.org/doi/full/10.1145/3783862.3783876" TargetMode="External"/><Relationship Id="rId6" Type="http://schemas.openxmlformats.org/officeDocument/2006/relationships/hyperlink" Target="https://repository.gatech.edu/entities/publication/1323d919-d84a-4cd8-8990-f201ce324aef" TargetMode="External"/><Relationship Id="rId7" Type="http://schemas.openxmlformats.org/officeDocument/2006/relationships/hyperlink" Target="https://doi.org/10.1145/3785325" TargetMode="External"/><Relationship Id="rId8" Type="http://schemas.openxmlformats.org/officeDocument/2006/relationships/hyperlink" Target="https://proceedings.iclr.cc/paper_files/paper/2025/hash/da2411768acb844b255bb6770e5a71c7-Abstract-Conference.html" TargetMode="External"/><Relationship Id="rId9" Type="http://schemas.openxmlformats.org/officeDocument/2006/relationships/hyperlink" Target="https://ojs.aaai.org/index.php/AAAI/article/view/42465" TargetMode="External"/><Relationship Id="rId10" Type="http://schemas.openxmlformats.org/officeDocument/2006/relationships/hyperlink" Target="https://proceedings.iclr.cc/paper_files/paper/2026/hash/7fc516909e0b90c96bcc75a16ebee6a2-Abstract-Conference.html" TargetMode="External"/><Relationship Id="rId11" Type="http://schemas.openxmlformats.org/officeDocument/2006/relationships/hyperlink" Target="https://iclr.cc/virtual/2024/oral/19722" TargetMode="External"/><Relationship Id="rId12" Type="http://schemas.openxmlformats.org/officeDocument/2006/relationships/hyperlink" Target="https://aclanthology.org/2024.splurobonlp-1.1/" TargetMode="External"/><Relationship Id="rId13" Type="http://schemas.openxmlformats.org/officeDocument/2006/relationships/hyperlink" Target="https://papers.ssrn.com/sol3/papers.cfm?abstract_id=7431278" TargetMode="External"/><Relationship Id="rId14" Type="http://schemas.openxmlformats.org/officeDocument/2006/relationships/hyperlink" Target="https://doi.org/10.3233/FAIA240196" TargetMode="External"/><Relationship Id="rId15" Type="http://schemas.openxmlformats.org/officeDocument/2006/relationships/hyperlink" Target="https://proceedings.neurips.cc/paper_files/paper/2023/hash/dd03f856fc7f2efeec8b1c796284561d-Abstract-Conference.html" TargetMode="External"/><Relationship Id="rId16" Type="http://schemas.openxmlformats.org/officeDocument/2006/relationships/hyperlink" Target="https://cspaper.org/openprint/20260726.0001v1.pdf" TargetMode="External"/><Relationship Id="rId17" Type="http://schemas.openxmlformats.org/officeDocument/2006/relationships/hyperlink" Target="https://cse-t.org/index.php/home/article/view/168" TargetMode="External"/><Relationship Id="rId18" Type="http://schemas.openxmlformats.org/officeDocument/2006/relationships/hyperlink" Target="https://aiamls.org/index.php/homepage/article/view/147" TargetMode="External"/><Relationship Id="rId19" Type="http://schemas.openxmlformats.org/officeDocument/2006/relationships/hyperlink" Target="https://www.techrxiv.org/doi/full/10.36227/techrxiv.176531987.77979037/v1" TargetMode="External"/><Relationship Id="rId20" Type="http://schemas.openxmlformats.org/officeDocument/2006/relationships/hyperlink" Target="https://proceedings.neurips.cc/paper_files/paper/2025/hash/5c1ff00b27ba052039bb41531236baac-Abstract-Conference.html" TargetMode="External"/><Relationship Id="rId21" Type="http://schemas.openxmlformats.org/officeDocument/2006/relationships/hyperlink" Target="https://openaccess.thecvf.com/content/CVPR2026/html/Yang_GenieDrive_Towards_Physics-Aware_Driving_World_Model_with_4D_Occupancy_Guided_CVPR_2026_paper.html" TargetMode="External"/><Relationship Id="rId22" Type="http://schemas.openxmlformats.org/officeDocument/2006/relationships/hyperlink" Target="https://openreview.net/forum?id=VwDLQM2K4Z" TargetMode="External"/><Relationship Id="rId23" Type="http://schemas.openxmlformats.org/officeDocument/2006/relationships/hyperlink" Target="https://openreview.net/forum?id=uDmxJ6133n" TargetMode="External"/><Relationship Id="rId24" Type="http://schemas.openxmlformats.org/officeDocument/2006/relationships/hyperlink" Target="https://proceedings.neurips.cc/paper_files/paper/2018" TargetMode="External"/><Relationship Id="rId25" Type="http://schemas.openxmlformats.org/officeDocument/2006/relationships/hyperlink" Target="https://doi.org/10.52202/079017-0846" TargetMode="External"/><Relationship Id="rId26" Type="http://schemas.openxmlformats.org/officeDocument/2006/relationships/hyperlink" Target="https://proceedings.iclr.cc/paper_files/paper/2025/hash/a00548031e4647b13042c97c922fadf1-Abstract-Conference.html" TargetMode="External"/><Relationship Id="rId27" Type="http://schemas.openxmlformats.org/officeDocument/2006/relationships/hyperlink" Target="https://doi.org/10.52202/079017-1212" TargetMode="External"/><Relationship Id="rId28" Type="http://schemas.openxmlformats.org/officeDocument/2006/relationships/hyperlink" Target="https://doi.org/10.1145/3746449" TargetMode="External"/><Relationship Id="rId29" Type="http://schemas.openxmlformats.org/officeDocument/2006/relationships/hyperlink" Target="https://proceedings.iclr.cc/paper_files/paper/2026" TargetMode="External"/><Relationship Id="rId30" Type="http://schemas.openxmlformats.org/officeDocument/2006/relationships/hyperlink" Target="https://dl.acm.org/doi/full/10.1145/3783862.3783876" TargetMode="External"/><Relationship Id="rId31" Type="http://schemas.openxmlformats.org/officeDocument/2006/relationships/hyperlink" Target="https://doi.org/10.52202/085713-2192" TargetMode="External"/><Relationship Id="rId32" Type="http://schemas.openxmlformats.org/officeDocument/2006/relationships/hyperlink" Target="https://openreview.net/forum?id=NWU6AaJv48" TargetMode="External"/><Relationship Id="rId33" Type="http://schemas.openxmlformats.org/officeDocument/2006/relationships/hyperlink" Target="https://proceedings.mlr.press/v139/zhang21x.html" TargetMode="External"/><Relationship Id="rId34" Type="http://schemas.openxmlformats.org/officeDocument/2006/relationships/hyperlink" Target="https://proceedings.mlr.press/v119/kim20e.html" TargetMode="External"/><Relationship Id="rId35" Type="http://schemas.openxmlformats.org/officeDocument/2006/relationships/hyperlink" Target="https://proceedings.iclr.cc/paper_files/paper/2026" TargetMode="External"/><Relationship Id="rId36" Type="http://schemas.openxmlformats.org/officeDocument/2006/relationships/hyperlink" Target="https://proceedings.mlr.press/v232/kessler23a.html" TargetMode="External"/><Relationship Id="rId37" Type="http://schemas.openxmlformats.org/officeDocument/2006/relationships/hyperlink" Target="https://doi.org/10.1038/s41598-024-76719-w" TargetMode="External"/><Relationship Id="rId38" Type="http://schemas.openxmlformats.org/officeDocument/2006/relationships/hyperlink" Target="https://proceedings.neurips.cc/paper_files/paper/2025/vol38-main-conference" TargetMode="External"/><Relationship Id="rId39" Type="http://schemas.openxmlformats.org/officeDocument/2006/relationships/hyperlink" Target="https://doi.org/10.1007/s11432-022-3696-5" TargetMode="External"/><Relationship Id="rId40" Type="http://schemas.openxmlformats.org/officeDocument/2006/relationships/hyperlink" Target="https://doi.org/10.1007/978-3-032-08327-2_7" TargetMode="External"/><Relationship Id="rId41" Type="http://schemas.openxmlformats.org/officeDocument/2006/relationships/hyperlink" Target="https://proceedings.mlr.press/v205/" TargetMode="External"/><Relationship Id="rId42" Type="http://schemas.openxmlformats.org/officeDocument/2006/relationships/hyperlink" Target="https://d-nb.info/134898256X/34" TargetMode="External"/><Relationship Id="rId43" Type="http://schemas.openxmlformats.org/officeDocument/2006/relationships/hyperlink" Target="https://doi.org/10.1016/j.knosys.2025.114534" TargetMode="External"/><Relationship Id="rId44" Type="http://schemas.openxmlformats.org/officeDocument/2006/relationships/hyperlink" Target="https://doi.org/10.1016/j.neunet.2022.03.037" TargetMode="External"/><Relationship Id="rId45" Type="http://schemas.openxmlformats.org/officeDocument/2006/relationships/hyperlink" Target="https://doi.org/10.1007/s10462-025-11166-1" TargetMode="External"/><Relationship Id="rId46" Type="http://schemas.openxmlformats.org/officeDocument/2006/relationships/hyperlink" Target="https://proceedings.mlr.press/v202/" TargetMode="External"/><Relationship Id="rId47" Type="http://schemas.openxmlformats.org/officeDocument/2006/relationships/hyperlink" Target="https://proceedings.mlr.press/v119/" TargetMode="External"/><Relationship Id="rId48" Type="http://schemas.openxmlformats.org/officeDocument/2006/relationships/hyperlink" Target="https://openreview.net/forum?id=q5s1aRmRQm" TargetMode="External"/><Relationship Id="rId49" Type="http://schemas.openxmlformats.org/officeDocument/2006/relationships/hyperlink" Target="https://doi.org/10.1609/aaai.v40i29.39642" TargetMode="External"/><Relationship Id="rId50" Type="http://schemas.openxmlformats.org/officeDocument/2006/relationships/hyperlink" Target="https://doi.org/10.52202/079017-1873" TargetMode="External"/><Relationship Id="rId51" Type="http://schemas.openxmlformats.org/officeDocument/2006/relationships/hyperlink" Target="https://doi.org/10.1073/pnas.2513319122" TargetMode="External"/><Relationship Id="rId52" Type="http://schemas.openxmlformats.org/officeDocument/2006/relationships/hyperlink" Target="https://iclr.cc/virtual/2024/poster/19589" TargetMode="External"/><Relationship Id="rId53" Type="http://schemas.openxmlformats.org/officeDocument/2006/relationships/hyperlink" Target="https://openreview.net/forum?id=Q2hkp8WIDS" TargetMode="External"/><Relationship Id="rId54" Type="http://schemas.openxmlformats.org/officeDocument/2006/relationships/hyperlink" Target="https://doi.org/10.1609/aaai.v35i5.16569" TargetMode="External"/><Relationship Id="rId55" Type="http://schemas.openxmlformats.org/officeDocument/2006/relationships/hyperlink" Target="https://proceedings.neurips.cc/paper_files/paper/2024" TargetMode="External"/><Relationship Id="rId56" Type="http://schemas.openxmlformats.org/officeDocument/2006/relationships/hyperlink" Target="https://proceedings.mlr.press/v162/deng22a.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
    <col collapsed="false" customWidth="true" hidden="false" outlineLevel="0" max="3" min="3" style="0" width="46"/>
    <col collapsed="false" customWidth="true" hidden="false" outlineLevel="0" max="4" min="4" style="0" width="13"/>
    <col collapsed="false" customWidth="true" hidden="false" outlineLevel="0" max="5" min="5" style="0" width="7"/>
    <col collapsed="false" customWidth="true" hidden="false" outlineLevel="0" max="6" min="6" style="0" width="30"/>
    <col collapsed="false" customWidth="true" hidden="false" outlineLevel="0" max="7" min="7" style="0" width="22"/>
    <col collapsed="false" customWidth="true" hidden="false" outlineLevel="0" max="8" min="8" style="0" width="9"/>
    <col collapsed="false" customWidth="true" hidden="false" outlineLevel="0" max="9" min="9" style="0" width="52"/>
    <col collapsed="false" customWidth="true" hidden="false" outlineLevel="0" max="15" min="10" style="0" width="9"/>
    <col collapsed="false" customWidth="true" hidden="false" outlineLevel="0" max="17" min="16" style="0" width="10"/>
    <col collapsed="false" customWidth="true" hidden="false" outlineLevel="0" max="18" min="18" style="0" width="12"/>
  </cols>
  <sheetData>
    <row r="1" customFormat="false" ht="16.15" hidden="false" customHeight="false" outlineLevel="0" collapsed="false">
      <c r="A1" s="1" t="s">
        <v>0</v>
      </c>
    </row>
    <row r="2" customFormat="false" ht="30"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ustomFormat="false" ht="19.5" hidden="false" customHeight="true" outlineLevel="0" collapsed="false">
      <c r="A3" s="3" t="s">
        <v>19</v>
      </c>
      <c r="B3" s="3"/>
      <c r="C3" s="3"/>
      <c r="D3" s="3"/>
      <c r="E3" s="3"/>
      <c r="F3" s="3"/>
      <c r="G3" s="3"/>
      <c r="H3" s="3"/>
      <c r="I3" s="3"/>
      <c r="J3" s="3"/>
      <c r="K3" s="3"/>
      <c r="L3" s="3"/>
      <c r="M3" s="3"/>
      <c r="N3" s="3"/>
      <c r="O3" s="3"/>
      <c r="P3" s="3"/>
      <c r="Q3" s="3"/>
      <c r="R3" s="3"/>
    </row>
    <row r="4" customFormat="false" ht="23.85" hidden="false" customHeight="false" outlineLevel="0" collapsed="false">
      <c r="A4" s="4" t="n">
        <v>1</v>
      </c>
      <c r="B4" s="4" t="s">
        <v>20</v>
      </c>
      <c r="C4" s="4" t="s">
        <v>21</v>
      </c>
      <c r="D4" s="4" t="s">
        <v>22</v>
      </c>
      <c r="E4" s="4" t="n">
        <v>2025</v>
      </c>
      <c r="F4" s="5" t="s">
        <v>23</v>
      </c>
      <c r="G4" s="4"/>
      <c r="H4" s="4" t="s">
        <v>24</v>
      </c>
      <c r="I4" s="4" t="s">
        <v>25</v>
      </c>
      <c r="J4" s="6" t="s">
        <v>24</v>
      </c>
      <c r="K4" s="6" t="s">
        <v>24</v>
      </c>
      <c r="L4" s="6" t="s">
        <v>26</v>
      </c>
      <c r="M4" s="6"/>
      <c r="N4" s="6" t="s">
        <v>26</v>
      </c>
      <c r="O4" s="6"/>
      <c r="P4" s="7" t="str">
        <f aca="false">IF(C4="","",IF(COUNTIF(J4,"Y")+COUNTIF(L4,"Y")+COUNTIF(N4,"Y")&gt;0,"Y",IF(COUNTIF(J4,"N")+COUNTIF(L4,"N")+COUNTIF(N4,"N")=3,"N","")))</f>
        <v>Y</v>
      </c>
      <c r="Q4" s="7" t="str">
        <f aca="false">IF(C4="","",IF(COUNTIF(K4,"Y")+COUNTIF(M4,"Y")+COUNTIF(O4,"Y")&gt;0,"Y",IF(COUNTIF(K4,"N")+COUNTIF(M4,"N")+COUNTIF(O4,"N")&gt;0,"N","")))</f>
        <v>Y</v>
      </c>
      <c r="R4" s="7" t="str">
        <f aca="false">IF(C4="","",IF(H4&lt;&gt;"Y","Not counted",IF(P4="N","Not indexed",IF(Q4="Y","Hit",IF(AND(P4="Y",Q4="N"),"Miss","Pending")))))</f>
        <v>Hit</v>
      </c>
    </row>
    <row r="5" customFormat="false" ht="35.05" hidden="false" customHeight="false" outlineLevel="0" collapsed="false">
      <c r="A5" s="4" t="n">
        <v>2</v>
      </c>
      <c r="B5" s="4" t="s">
        <v>20</v>
      </c>
      <c r="C5" s="4" t="s">
        <v>27</v>
      </c>
      <c r="D5" s="4" t="s">
        <v>22</v>
      </c>
      <c r="E5" s="4" t="n">
        <v>2025</v>
      </c>
      <c r="F5" s="5" t="s">
        <v>28</v>
      </c>
      <c r="G5" s="4"/>
      <c r="H5" s="4" t="s">
        <v>24</v>
      </c>
      <c r="I5" s="4" t="s">
        <v>29</v>
      </c>
      <c r="J5" s="6" t="s">
        <v>24</v>
      </c>
      <c r="K5" s="6" t="s">
        <v>24</v>
      </c>
      <c r="L5" s="6" t="s">
        <v>26</v>
      </c>
      <c r="M5" s="6"/>
      <c r="N5" s="6" t="s">
        <v>26</v>
      </c>
      <c r="O5" s="6"/>
      <c r="P5" s="7" t="str">
        <f aca="false">IF(C5="","",IF(COUNTIF(J5,"Y")+COUNTIF(L5,"Y")+COUNTIF(N5,"Y")&gt;0,"Y",IF(COUNTIF(J5,"N")+COUNTIF(L5,"N")+COUNTIF(N5,"N")=3,"N","")))</f>
        <v>Y</v>
      </c>
      <c r="Q5" s="7" t="str">
        <f aca="false">IF(C5="","",IF(COUNTIF(K5,"Y")+COUNTIF(M5,"Y")+COUNTIF(O5,"Y")&gt;0,"Y",IF(COUNTIF(K5,"N")+COUNTIF(M5,"N")+COUNTIF(O5,"N")&gt;0,"N","")))</f>
        <v>Y</v>
      </c>
      <c r="R5" s="7" t="str">
        <f aca="false">IF(C5="","",IF(H5&lt;&gt;"Y","Not counted",IF(P5="N","Not indexed",IF(Q5="Y","Hit",IF(AND(P5="Y",Q5="N"),"Miss","Pending")))))</f>
        <v>Hit</v>
      </c>
    </row>
    <row r="6" customFormat="false" ht="23.85" hidden="false" customHeight="false" outlineLevel="0" collapsed="false">
      <c r="A6" s="4" t="n">
        <v>3</v>
      </c>
      <c r="B6" s="4" t="s">
        <v>20</v>
      </c>
      <c r="C6" s="4" t="s">
        <v>30</v>
      </c>
      <c r="D6" s="4" t="s">
        <v>31</v>
      </c>
      <c r="E6" s="4" t="n">
        <v>2024</v>
      </c>
      <c r="F6" s="5" t="s">
        <v>32</v>
      </c>
      <c r="G6" s="4" t="s">
        <v>33</v>
      </c>
      <c r="H6" s="4" t="s">
        <v>24</v>
      </c>
      <c r="I6" s="4" t="s">
        <v>34</v>
      </c>
      <c r="J6" s="6" t="s">
        <v>24</v>
      </c>
      <c r="K6" s="6" t="s">
        <v>24</v>
      </c>
      <c r="L6" s="6" t="s">
        <v>26</v>
      </c>
      <c r="M6" s="6"/>
      <c r="N6" s="6" t="s">
        <v>26</v>
      </c>
      <c r="O6" s="6"/>
      <c r="P6" s="7" t="str">
        <f aca="false">IF(C6="","",IF(COUNTIF(J6,"Y")+COUNTIF(L6,"Y")+COUNTIF(N6,"Y")&gt;0,"Y",IF(COUNTIF(J6,"N")+COUNTIF(L6,"N")+COUNTIF(N6,"N")=3,"N","")))</f>
        <v>Y</v>
      </c>
      <c r="Q6" s="7" t="str">
        <f aca="false">IF(C6="","",IF(COUNTIF(K6,"Y")+COUNTIF(M6,"Y")+COUNTIF(O6,"Y")&gt;0,"Y",IF(COUNTIF(K6,"N")+COUNTIF(M6,"N")+COUNTIF(O6,"N")&gt;0,"N","")))</f>
        <v>Y</v>
      </c>
      <c r="R6" s="7" t="str">
        <f aca="false">IF(C6="","",IF(H6&lt;&gt;"Y","Not counted",IF(P6="N","Not indexed",IF(Q6="Y","Hit",IF(AND(P6="Y",Q6="N"),"Miss","Pending")))))</f>
        <v>Hit</v>
      </c>
    </row>
    <row r="7" customFormat="false" ht="23.85" hidden="false" customHeight="false" outlineLevel="0" collapsed="false">
      <c r="A7" s="4" t="n">
        <v>4</v>
      </c>
      <c r="B7" s="4" t="s">
        <v>20</v>
      </c>
      <c r="C7" s="4" t="s">
        <v>35</v>
      </c>
      <c r="D7" s="4" t="s">
        <v>36</v>
      </c>
      <c r="E7" s="4" t="n">
        <v>2026</v>
      </c>
      <c r="F7" s="5" t="s">
        <v>37</v>
      </c>
      <c r="G7" s="4" t="s">
        <v>38</v>
      </c>
      <c r="H7" s="4" t="s">
        <v>24</v>
      </c>
      <c r="I7" s="4" t="s">
        <v>39</v>
      </c>
      <c r="J7" s="6" t="s">
        <v>24</v>
      </c>
      <c r="K7" s="6" t="s">
        <v>24</v>
      </c>
      <c r="L7" s="6" t="s">
        <v>26</v>
      </c>
      <c r="M7" s="6"/>
      <c r="N7" s="6" t="s">
        <v>26</v>
      </c>
      <c r="O7" s="6"/>
      <c r="P7" s="7" t="str">
        <f aca="false">IF(C7="","",IF(COUNTIF(J7,"Y")+COUNTIF(L7,"Y")+COUNTIF(N7,"Y")&gt;0,"Y",IF(COUNTIF(J7,"N")+COUNTIF(L7,"N")+COUNTIF(N7,"N")=3,"N","")))</f>
        <v>Y</v>
      </c>
      <c r="Q7" s="7" t="str">
        <f aca="false">IF(C7="","",IF(COUNTIF(K7,"Y")+COUNTIF(M7,"Y")+COUNTIF(O7,"Y")&gt;0,"Y",IF(COUNTIF(K7,"N")+COUNTIF(M7,"N")+COUNTIF(O7,"N")&gt;0,"N","")))</f>
        <v>Y</v>
      </c>
      <c r="R7" s="7" t="str">
        <f aca="false">IF(C7="","",IF(H7&lt;&gt;"Y","Not counted",IF(P7="N","Not indexed",IF(Q7="Y","Hit",IF(AND(P7="Y",Q7="N"),"Miss","Pending")))))</f>
        <v>Hit</v>
      </c>
    </row>
    <row r="8" customFormat="false" ht="57.45" hidden="false" customHeight="false" outlineLevel="0" collapsed="false">
      <c r="A8" s="4" t="n">
        <v>5</v>
      </c>
      <c r="B8" s="4" t="s">
        <v>20</v>
      </c>
      <c r="C8" s="4" t="s">
        <v>40</v>
      </c>
      <c r="D8" s="4" t="s">
        <v>41</v>
      </c>
      <c r="E8" s="4" t="n">
        <v>2026</v>
      </c>
      <c r="F8" s="5" t="s">
        <v>42</v>
      </c>
      <c r="G8" s="4"/>
      <c r="H8" s="4" t="s">
        <v>24</v>
      </c>
      <c r="I8" s="4" t="s">
        <v>43</v>
      </c>
      <c r="J8" s="6" t="s">
        <v>26</v>
      </c>
      <c r="K8" s="6"/>
      <c r="L8" s="6" t="s">
        <v>26</v>
      </c>
      <c r="M8" s="6"/>
      <c r="N8" s="6" t="s">
        <v>26</v>
      </c>
      <c r="O8" s="6"/>
      <c r="P8" s="7" t="str">
        <f aca="false">IF(C8="","",IF(COUNTIF(J8,"Y")+COUNTIF(L8,"Y")+COUNTIF(N8,"Y")&gt;0,"Y",IF(COUNTIF(J8,"N")+COUNTIF(L8,"N")+COUNTIF(N8,"N")=3,"N","")))</f>
        <v>N</v>
      </c>
      <c r="Q8" s="7" t="str">
        <f aca="false">IF(C8="","",IF(COUNTIF(K8,"Y")+COUNTIF(M8,"Y")+COUNTIF(O8,"Y")&gt;0,"Y",IF(COUNTIF(K8,"N")+COUNTIF(M8,"N")+COUNTIF(O8,"N")&gt;0,"N","")))</f>
        <v/>
      </c>
      <c r="R8" s="7" t="str">
        <f aca="false">IF(C8="","",IF(H8&lt;&gt;"Y","Not counted",IF(P8="N","Not indexed",IF(Q8="Y","Hit",IF(AND(P8="Y",Q8="N"),"Miss","Pending")))))</f>
        <v>Not indexed</v>
      </c>
    </row>
    <row r="9" customFormat="false" ht="46.25" hidden="false" customHeight="false" outlineLevel="0" collapsed="false">
      <c r="A9" s="4" t="n">
        <v>6</v>
      </c>
      <c r="B9" s="4" t="s">
        <v>20</v>
      </c>
      <c r="C9" s="4" t="s">
        <v>44</v>
      </c>
      <c r="D9" s="4" t="s">
        <v>45</v>
      </c>
      <c r="E9" s="4" t="n">
        <v>2025</v>
      </c>
      <c r="F9" s="5" t="s">
        <v>46</v>
      </c>
      <c r="G9" s="4" t="s">
        <v>47</v>
      </c>
      <c r="H9" s="4" t="s">
        <v>24</v>
      </c>
      <c r="I9" s="4" t="s">
        <v>48</v>
      </c>
      <c r="J9" s="6" t="s">
        <v>26</v>
      </c>
      <c r="K9" s="6"/>
      <c r="L9" s="6" t="s">
        <v>24</v>
      </c>
      <c r="M9" s="6" t="s">
        <v>24</v>
      </c>
      <c r="N9" s="6" t="s">
        <v>26</v>
      </c>
      <c r="O9" s="6"/>
      <c r="P9" s="7" t="str">
        <f aca="false">IF(C9="","",IF(COUNTIF(J9,"Y")+COUNTIF(L9,"Y")+COUNTIF(N9,"Y")&gt;0,"Y",IF(COUNTIF(J9,"N")+COUNTIF(L9,"N")+COUNTIF(N9,"N")=3,"N","")))</f>
        <v>Y</v>
      </c>
      <c r="Q9" s="7" t="str">
        <f aca="false">IF(C9="","",IF(COUNTIF(K9,"Y")+COUNTIF(M9,"Y")+COUNTIF(O9,"Y")&gt;0,"Y",IF(COUNTIF(K9,"N")+COUNTIF(M9,"N")+COUNTIF(O9,"N")&gt;0,"N","")))</f>
        <v>Y</v>
      </c>
      <c r="R9" s="7" t="str">
        <f aca="false">IF(C9="","",IF(H9&lt;&gt;"Y","Not counted",IF(P9="N","Not indexed",IF(Q9="Y","Hit",IF(AND(P9="Y",Q9="N"),"Miss","Pending")))))</f>
        <v>Hit</v>
      </c>
    </row>
    <row r="10" customFormat="false" ht="46.25" hidden="false" customHeight="false" outlineLevel="0" collapsed="false">
      <c r="A10" s="4" t="n">
        <v>7</v>
      </c>
      <c r="B10" s="4" t="s">
        <v>20</v>
      </c>
      <c r="C10" s="4" t="s">
        <v>49</v>
      </c>
      <c r="D10" s="4" t="s">
        <v>50</v>
      </c>
      <c r="E10" s="4" t="n">
        <v>2025</v>
      </c>
      <c r="F10" s="5" t="s">
        <v>51</v>
      </c>
      <c r="G10" s="4" t="s">
        <v>52</v>
      </c>
      <c r="H10" s="4" t="s">
        <v>24</v>
      </c>
      <c r="I10" s="4" t="s">
        <v>53</v>
      </c>
      <c r="J10" s="6" t="s">
        <v>24</v>
      </c>
      <c r="K10" s="6" t="s">
        <v>26</v>
      </c>
      <c r="L10" s="6" t="s">
        <v>26</v>
      </c>
      <c r="M10" s="6"/>
      <c r="N10" s="6" t="s">
        <v>26</v>
      </c>
      <c r="O10" s="6"/>
      <c r="P10" s="7" t="str">
        <f aca="false">IF(C10="","",IF(COUNTIF(J10,"Y")+COUNTIF(L10,"Y")+COUNTIF(N10,"Y")&gt;0,"Y",IF(COUNTIF(J10,"N")+COUNTIF(L10,"N")+COUNTIF(N10,"N")=3,"N","")))</f>
        <v>Y</v>
      </c>
      <c r="Q10" s="7" t="str">
        <f aca="false">IF(C10="","",IF(COUNTIF(K10,"Y")+COUNTIF(M10,"Y")+COUNTIF(O10,"Y")&gt;0,"Y",IF(COUNTIF(K10,"N")+COUNTIF(M10,"N")+COUNTIF(O10,"N")&gt;0,"N","")))</f>
        <v>N</v>
      </c>
      <c r="R10" s="7" t="str">
        <f aca="false">IF(C10="","",IF(H10&lt;&gt;"Y","Not counted",IF(P10="N","Not indexed",IF(Q10="Y","Hit",IF(AND(P10="Y",Q10="N"),"Miss","Pending")))))</f>
        <v>Miss</v>
      </c>
    </row>
    <row r="11" customFormat="false" ht="19.5" hidden="false" customHeight="true" outlineLevel="0" collapsed="false">
      <c r="A11" s="3" t="s">
        <v>54</v>
      </c>
      <c r="B11" s="3"/>
      <c r="C11" s="3"/>
      <c r="D11" s="3"/>
      <c r="E11" s="3"/>
      <c r="F11" s="3"/>
      <c r="G11" s="3"/>
      <c r="H11" s="3"/>
      <c r="I11" s="3"/>
      <c r="J11" s="3"/>
      <c r="K11" s="3"/>
      <c r="L11" s="3"/>
      <c r="M11" s="3"/>
      <c r="N11" s="3"/>
      <c r="O11" s="3"/>
      <c r="P11" s="3"/>
      <c r="Q11" s="3"/>
      <c r="R11" s="3"/>
    </row>
    <row r="12" customFormat="false" ht="68.65" hidden="false" customHeight="false" outlineLevel="0" collapsed="false">
      <c r="A12" s="4" t="n">
        <v>8</v>
      </c>
      <c r="B12" s="4" t="s">
        <v>55</v>
      </c>
      <c r="C12" s="4" t="s">
        <v>56</v>
      </c>
      <c r="D12" s="4" t="s">
        <v>57</v>
      </c>
      <c r="E12" s="4" t="n">
        <v>2026</v>
      </c>
      <c r="F12" s="5" t="s">
        <v>58</v>
      </c>
      <c r="G12" s="4"/>
      <c r="H12" s="4" t="s">
        <v>24</v>
      </c>
      <c r="I12" s="4" t="s">
        <v>59</v>
      </c>
      <c r="J12" s="6" t="s">
        <v>26</v>
      </c>
      <c r="K12" s="6"/>
      <c r="L12" s="6" t="s">
        <v>26</v>
      </c>
      <c r="M12" s="6"/>
      <c r="N12" s="6" t="s">
        <v>26</v>
      </c>
      <c r="O12" s="6"/>
      <c r="P12" s="7" t="str">
        <f aca="false">IF(C12="","",IF(COUNTIF(J12,"Y")+COUNTIF(L12,"Y")+COUNTIF(N12,"Y")&gt;0,"Y",IF(COUNTIF(J12,"N")+COUNTIF(L12,"N")+COUNTIF(N12,"N")=3,"N","")))</f>
        <v>N</v>
      </c>
      <c r="Q12" s="7" t="str">
        <f aca="false">IF(C12="","",IF(COUNTIF(K12,"Y")+COUNTIF(M12,"Y")+COUNTIF(O12,"Y")&gt;0,"Y",IF(COUNTIF(K12,"N")+COUNTIF(M12,"N")+COUNTIF(O12,"N")&gt;0,"N","")))</f>
        <v/>
      </c>
      <c r="R12" s="7" t="str">
        <f aca="false">IF(C12="","",IF(H12&lt;&gt;"Y","Not counted",IF(P12="N","Not indexed",IF(Q12="Y","Hit",IF(AND(P12="Y",Q12="N"),"Miss","Pending")))))</f>
        <v>Not indexed</v>
      </c>
    </row>
    <row r="13" customFormat="false" ht="35.05" hidden="false" customHeight="false" outlineLevel="0" collapsed="false">
      <c r="A13" s="4" t="n">
        <v>9</v>
      </c>
      <c r="B13" s="4" t="s">
        <v>55</v>
      </c>
      <c r="C13" s="4" t="s">
        <v>60</v>
      </c>
      <c r="D13" s="4" t="s">
        <v>61</v>
      </c>
      <c r="E13" s="4" t="n">
        <v>2024</v>
      </c>
      <c r="F13" s="5" t="s">
        <v>62</v>
      </c>
      <c r="G13" s="4"/>
      <c r="H13" s="4" t="s">
        <v>24</v>
      </c>
      <c r="I13" s="4" t="s">
        <v>63</v>
      </c>
      <c r="J13" s="6" t="s">
        <v>24</v>
      </c>
      <c r="K13" s="6" t="s">
        <v>24</v>
      </c>
      <c r="L13" s="6" t="s">
        <v>26</v>
      </c>
      <c r="M13" s="6"/>
      <c r="N13" s="6" t="s">
        <v>26</v>
      </c>
      <c r="O13" s="6"/>
      <c r="P13" s="7" t="str">
        <f aca="false">IF(C13="","",IF(COUNTIF(J13,"Y")+COUNTIF(L13,"Y")+COUNTIF(N13,"Y")&gt;0,"Y",IF(COUNTIF(J13,"N")+COUNTIF(L13,"N")+COUNTIF(N13,"N")=3,"N","")))</f>
        <v>Y</v>
      </c>
      <c r="Q13" s="7" t="str">
        <f aca="false">IF(C13="","",IF(COUNTIF(K13,"Y")+COUNTIF(M13,"Y")+COUNTIF(O13,"Y")&gt;0,"Y",IF(COUNTIF(K13,"N")+COUNTIF(M13,"N")+COUNTIF(O13,"N")&gt;0,"N","")))</f>
        <v>Y</v>
      </c>
      <c r="R13" s="7" t="str">
        <f aca="false">IF(C13="","",IF(H13&lt;&gt;"Y","Not counted",IF(P13="N","Not indexed",IF(Q13="Y","Hit",IF(AND(P13="Y",Q13="N"),"Miss","Pending")))))</f>
        <v>Hit</v>
      </c>
    </row>
    <row r="14" customFormat="false" ht="35.05" hidden="false" customHeight="false" outlineLevel="0" collapsed="false">
      <c r="A14" s="4" t="n">
        <v>10</v>
      </c>
      <c r="B14" s="4" t="s">
        <v>55</v>
      </c>
      <c r="C14" s="4" t="s">
        <v>64</v>
      </c>
      <c r="D14" s="4" t="s">
        <v>65</v>
      </c>
      <c r="E14" s="4" t="n">
        <v>2024</v>
      </c>
      <c r="F14" s="5" t="s">
        <v>66</v>
      </c>
      <c r="G14" s="4" t="s">
        <v>67</v>
      </c>
      <c r="H14" s="4" t="s">
        <v>24</v>
      </c>
      <c r="I14" s="4" t="s">
        <v>68</v>
      </c>
      <c r="J14" s="6" t="s">
        <v>24</v>
      </c>
      <c r="K14" s="6" t="s">
        <v>24</v>
      </c>
      <c r="L14" s="6" t="s">
        <v>26</v>
      </c>
      <c r="M14" s="6"/>
      <c r="N14" s="6" t="s">
        <v>24</v>
      </c>
      <c r="O14" s="6" t="s">
        <v>24</v>
      </c>
      <c r="P14" s="7" t="str">
        <f aca="false">IF(C14="","",IF(COUNTIF(J14,"Y")+COUNTIF(L14,"Y")+COUNTIF(N14,"Y")&gt;0,"Y",IF(COUNTIF(J14,"N")+COUNTIF(L14,"N")+COUNTIF(N14,"N")=3,"N","")))</f>
        <v>Y</v>
      </c>
      <c r="Q14" s="7" t="str">
        <f aca="false">IF(C14="","",IF(COUNTIF(K14,"Y")+COUNTIF(M14,"Y")+COUNTIF(O14,"Y")&gt;0,"Y",IF(COUNTIF(K14,"N")+COUNTIF(M14,"N")+COUNTIF(O14,"N")&gt;0,"N","")))</f>
        <v>Y</v>
      </c>
      <c r="R14" s="7" t="str">
        <f aca="false">IF(C14="","",IF(H14&lt;&gt;"Y","Not counted",IF(P14="N","Not indexed",IF(Q14="Y","Hit",IF(AND(P14="Y",Q14="N"),"Miss","Pending")))))</f>
        <v>Hit</v>
      </c>
    </row>
    <row r="15" customFormat="false" ht="46.25" hidden="false" customHeight="false" outlineLevel="0" collapsed="false">
      <c r="A15" s="4" t="n">
        <v>11</v>
      </c>
      <c r="B15" s="4" t="s">
        <v>55</v>
      </c>
      <c r="C15" s="4" t="s">
        <v>69</v>
      </c>
      <c r="D15" s="4" t="s">
        <v>22</v>
      </c>
      <c r="E15" s="4" t="n">
        <v>2025</v>
      </c>
      <c r="F15" s="5" t="s">
        <v>70</v>
      </c>
      <c r="G15" s="4"/>
      <c r="H15" s="4" t="s">
        <v>24</v>
      </c>
      <c r="I15" s="4" t="s">
        <v>71</v>
      </c>
      <c r="J15" s="6" t="s">
        <v>24</v>
      </c>
      <c r="K15" s="6" t="s">
        <v>26</v>
      </c>
      <c r="L15" s="6" t="s">
        <v>26</v>
      </c>
      <c r="M15" s="6"/>
      <c r="N15" s="6" t="s">
        <v>26</v>
      </c>
      <c r="O15" s="6"/>
      <c r="P15" s="7" t="str">
        <f aca="false">IF(C15="","",IF(COUNTIF(J15,"Y")+COUNTIF(L15,"Y")+COUNTIF(N15,"Y")&gt;0,"Y",IF(COUNTIF(J15,"N")+COUNTIF(L15,"N")+COUNTIF(N15,"N")=3,"N","")))</f>
        <v>Y</v>
      </c>
      <c r="Q15" s="7" t="str">
        <f aca="false">IF(C15="","",IF(COUNTIF(K15,"Y")+COUNTIF(M15,"Y")+COUNTIF(O15,"Y")&gt;0,"Y",IF(COUNTIF(K15,"N")+COUNTIF(M15,"N")+COUNTIF(O15,"N")&gt;0,"N","")))</f>
        <v>N</v>
      </c>
      <c r="R15" s="7" t="str">
        <f aca="false">IF(C15="","",IF(H15&lt;&gt;"Y","Not counted",IF(P15="N","Not indexed",IF(Q15="Y","Hit",IF(AND(P15="Y",Q15="N"),"Miss","Pending")))))</f>
        <v>Miss</v>
      </c>
    </row>
    <row r="16" customFormat="false" ht="19.5" hidden="false" customHeight="true" outlineLevel="0" collapsed="false">
      <c r="A16" s="3" t="s">
        <v>72</v>
      </c>
      <c r="B16" s="3"/>
      <c r="C16" s="3"/>
      <c r="D16" s="3"/>
      <c r="E16" s="3"/>
      <c r="F16" s="3"/>
      <c r="G16" s="3"/>
      <c r="H16" s="3"/>
      <c r="I16" s="3"/>
      <c r="J16" s="3"/>
      <c r="K16" s="3"/>
      <c r="L16" s="3"/>
      <c r="M16" s="3"/>
      <c r="N16" s="3"/>
      <c r="O16" s="3"/>
      <c r="P16" s="3"/>
      <c r="Q16" s="3"/>
      <c r="R16" s="3"/>
    </row>
    <row r="17" customFormat="false" ht="35.05" hidden="false" customHeight="false" outlineLevel="0" collapsed="false">
      <c r="A17" s="4" t="n">
        <v>12</v>
      </c>
      <c r="B17" s="4" t="s">
        <v>73</v>
      </c>
      <c r="C17" s="4" t="s">
        <v>74</v>
      </c>
      <c r="D17" s="4" t="s">
        <v>75</v>
      </c>
      <c r="E17" s="4" t="n">
        <v>2025</v>
      </c>
      <c r="F17" s="5" t="s">
        <v>76</v>
      </c>
      <c r="G17" s="4" t="s">
        <v>77</v>
      </c>
      <c r="H17" s="4" t="s">
        <v>24</v>
      </c>
      <c r="I17" s="4" t="s">
        <v>78</v>
      </c>
      <c r="J17" s="6" t="s">
        <v>24</v>
      </c>
      <c r="K17" s="6" t="s">
        <v>24</v>
      </c>
      <c r="L17" s="6" t="s">
        <v>26</v>
      </c>
      <c r="M17" s="6"/>
      <c r="N17" s="6" t="s">
        <v>26</v>
      </c>
      <c r="O17" s="6"/>
      <c r="P17" s="7" t="str">
        <f aca="false">IF(C17="","",IF(COUNTIF(J17,"Y")+COUNTIF(L17,"Y")+COUNTIF(N17,"Y")&gt;0,"Y",IF(COUNTIF(J17,"N")+COUNTIF(L17,"N")+COUNTIF(N17,"N")=3,"N","")))</f>
        <v>Y</v>
      </c>
      <c r="Q17" s="7" t="str">
        <f aca="false">IF(C17="","",IF(COUNTIF(K17,"Y")+COUNTIF(M17,"Y")+COUNTIF(O17,"Y")&gt;0,"Y",IF(COUNTIF(K17,"N")+COUNTIF(M17,"N")+COUNTIF(O17,"N")&gt;0,"N","")))</f>
        <v>Y</v>
      </c>
      <c r="R17" s="7" t="str">
        <f aca="false">IF(C17="","",IF(H17&lt;&gt;"Y","Not counted",IF(P17="N","Not indexed",IF(Q17="Y","Hit",IF(AND(P17="Y",Q17="N"),"Miss","Pending")))))</f>
        <v>Hit</v>
      </c>
    </row>
    <row r="18" customFormat="false" ht="23.85" hidden="false" customHeight="false" outlineLevel="0" collapsed="false">
      <c r="A18" s="4" t="n">
        <v>13</v>
      </c>
      <c r="B18" s="4" t="s">
        <v>73</v>
      </c>
      <c r="C18" s="4" t="s">
        <v>79</v>
      </c>
      <c r="D18" s="4" t="s">
        <v>75</v>
      </c>
      <c r="E18" s="4" t="n">
        <v>2025</v>
      </c>
      <c r="F18" s="5" t="s">
        <v>80</v>
      </c>
      <c r="G18" s="4" t="s">
        <v>81</v>
      </c>
      <c r="H18" s="4" t="s">
        <v>24</v>
      </c>
      <c r="I18" s="4" t="s">
        <v>82</v>
      </c>
      <c r="J18" s="6" t="s">
        <v>24</v>
      </c>
      <c r="K18" s="6" t="s">
        <v>24</v>
      </c>
      <c r="L18" s="6" t="s">
        <v>26</v>
      </c>
      <c r="M18" s="6"/>
      <c r="N18" s="6" t="s">
        <v>26</v>
      </c>
      <c r="O18" s="6"/>
      <c r="P18" s="7" t="str">
        <f aca="false">IF(C18="","",IF(COUNTIF(J18,"Y")+COUNTIF(L18,"Y")+COUNTIF(N18,"Y")&gt;0,"Y",IF(COUNTIF(J18,"N")+COUNTIF(L18,"N")+COUNTIF(N18,"N")=3,"N","")))</f>
        <v>Y</v>
      </c>
      <c r="Q18" s="7" t="str">
        <f aca="false">IF(C18="","",IF(COUNTIF(K18,"Y")+COUNTIF(M18,"Y")+COUNTIF(O18,"Y")&gt;0,"Y",IF(COUNTIF(K18,"N")+COUNTIF(M18,"N")+COUNTIF(O18,"N")&gt;0,"N","")))</f>
        <v>Y</v>
      </c>
      <c r="R18" s="7" t="str">
        <f aca="false">IF(C18="","",IF(H18&lt;&gt;"Y","Not counted",IF(P18="N","Not indexed",IF(Q18="Y","Hit",IF(AND(P18="Y",Q18="N"),"Miss","Pending")))))</f>
        <v>Hit</v>
      </c>
    </row>
    <row r="19" customFormat="false" ht="35.05" hidden="false" customHeight="false" outlineLevel="0" collapsed="false">
      <c r="A19" s="4" t="n">
        <v>14</v>
      </c>
      <c r="B19" s="4" t="s">
        <v>73</v>
      </c>
      <c r="C19" s="4" t="s">
        <v>83</v>
      </c>
      <c r="D19" s="4" t="s">
        <v>75</v>
      </c>
      <c r="E19" s="4" t="n">
        <v>2025</v>
      </c>
      <c r="F19" s="5" t="s">
        <v>84</v>
      </c>
      <c r="G19" s="4" t="s">
        <v>85</v>
      </c>
      <c r="H19" s="4" t="s">
        <v>24</v>
      </c>
      <c r="I19" s="4" t="s">
        <v>86</v>
      </c>
      <c r="J19" s="6" t="s">
        <v>24</v>
      </c>
      <c r="K19" s="6" t="s">
        <v>24</v>
      </c>
      <c r="L19" s="6" t="s">
        <v>26</v>
      </c>
      <c r="M19" s="6"/>
      <c r="N19" s="6" t="s">
        <v>26</v>
      </c>
      <c r="O19" s="6"/>
      <c r="P19" s="7" t="str">
        <f aca="false">IF(C19="","",IF(COUNTIF(J19,"Y")+COUNTIF(L19,"Y")+COUNTIF(N19,"Y")&gt;0,"Y",IF(COUNTIF(J19,"N")+COUNTIF(L19,"N")+COUNTIF(N19,"N")=3,"N","")))</f>
        <v>Y</v>
      </c>
      <c r="Q19" s="7" t="str">
        <f aca="false">IF(C19="","",IF(COUNTIF(K19,"Y")+COUNTIF(M19,"Y")+COUNTIF(O19,"Y")&gt;0,"Y",IF(COUNTIF(K19,"N")+COUNTIF(M19,"N")+COUNTIF(O19,"N")&gt;0,"N","")))</f>
        <v>Y</v>
      </c>
      <c r="R19" s="7" t="str">
        <f aca="false">IF(C19="","",IF(H19&lt;&gt;"Y","Not counted",IF(P19="N","Not indexed",IF(Q19="Y","Hit",IF(AND(P19="Y",Q19="N"),"Miss","Pending")))))</f>
        <v>Hit</v>
      </c>
    </row>
    <row r="20" customFormat="false" ht="46.25" hidden="false" customHeight="false" outlineLevel="0" collapsed="false">
      <c r="A20" s="4" t="n">
        <v>15</v>
      </c>
      <c r="B20" s="4" t="s">
        <v>73</v>
      </c>
      <c r="C20" s="4" t="s">
        <v>87</v>
      </c>
      <c r="D20" s="4" t="s">
        <v>75</v>
      </c>
      <c r="E20" s="4" t="n">
        <v>2025</v>
      </c>
      <c r="F20" s="5" t="s">
        <v>88</v>
      </c>
      <c r="G20" s="4" t="s">
        <v>89</v>
      </c>
      <c r="H20" s="4" t="s">
        <v>24</v>
      </c>
      <c r="I20" s="4" t="s">
        <v>90</v>
      </c>
      <c r="J20" s="6" t="s">
        <v>24</v>
      </c>
      <c r="K20" s="6" t="s">
        <v>26</v>
      </c>
      <c r="L20" s="6" t="s">
        <v>26</v>
      </c>
      <c r="M20" s="6"/>
      <c r="N20" s="6" t="s">
        <v>26</v>
      </c>
      <c r="O20" s="6"/>
      <c r="P20" s="7" t="str">
        <f aca="false">IF(C20="","",IF(COUNTIF(J20,"Y")+COUNTIF(L20,"Y")+COUNTIF(N20,"Y")&gt;0,"Y",IF(COUNTIF(J20,"N")+COUNTIF(L20,"N")+COUNTIF(N20,"N")=3,"N","")))</f>
        <v>Y</v>
      </c>
      <c r="Q20" s="7" t="str">
        <f aca="false">IF(C20="","",IF(COUNTIF(K20,"Y")+COUNTIF(M20,"Y")+COUNTIF(O20,"Y")&gt;0,"Y",IF(COUNTIF(K20,"N")+COUNTIF(M20,"N")+COUNTIF(O20,"N")&gt;0,"N","")))</f>
        <v>N</v>
      </c>
      <c r="R20" s="7" t="str">
        <f aca="false">IF(C20="","",IF(H20&lt;&gt;"Y","Not counted",IF(P20="N","Not indexed",IF(Q20="Y","Hit",IF(AND(P20="Y",Q20="N"),"Miss","Pending")))))</f>
        <v>Miss</v>
      </c>
    </row>
    <row r="21" customFormat="false" ht="35.05" hidden="false" customHeight="false" outlineLevel="0" collapsed="false">
      <c r="A21" s="4" t="n">
        <v>16</v>
      </c>
      <c r="B21" s="4" t="s">
        <v>73</v>
      </c>
      <c r="C21" s="4" t="s">
        <v>91</v>
      </c>
      <c r="D21" s="4" t="s">
        <v>92</v>
      </c>
      <c r="E21" s="4" t="n">
        <v>2026</v>
      </c>
      <c r="F21" s="5" t="s">
        <v>93</v>
      </c>
      <c r="G21" s="4" t="s">
        <v>94</v>
      </c>
      <c r="H21" s="4" t="s">
        <v>24</v>
      </c>
      <c r="I21" s="4" t="s">
        <v>95</v>
      </c>
      <c r="J21" s="6" t="s">
        <v>24</v>
      </c>
      <c r="K21" s="6" t="s">
        <v>24</v>
      </c>
      <c r="L21" s="6" t="s">
        <v>26</v>
      </c>
      <c r="M21" s="6"/>
      <c r="N21" s="6" t="s">
        <v>24</v>
      </c>
      <c r="O21" s="6" t="s">
        <v>24</v>
      </c>
      <c r="P21" s="7" t="str">
        <f aca="false">IF(C21="","",IF(COUNTIF(J21,"Y")+COUNTIF(L21,"Y")+COUNTIF(N21,"Y")&gt;0,"Y",IF(COUNTIF(J21,"N")+COUNTIF(L21,"N")+COUNTIF(N21,"N")=3,"N","")))</f>
        <v>Y</v>
      </c>
      <c r="Q21" s="7" t="str">
        <f aca="false">IF(C21="","",IF(COUNTIF(K21,"Y")+COUNTIF(M21,"Y")+COUNTIF(O21,"Y")&gt;0,"Y",IF(COUNTIF(K21,"N")+COUNTIF(M21,"N")+COUNTIF(O21,"N")&gt;0,"N","")))</f>
        <v>Y</v>
      </c>
      <c r="R21" s="7" t="str">
        <f aca="false">IF(C21="","",IF(H21&lt;&gt;"Y","Not counted",IF(P21="N","Not indexed",IF(Q21="Y","Hit",IF(AND(P21="Y",Q21="N"),"Miss","Pending")))))</f>
        <v>Hit</v>
      </c>
    </row>
    <row r="22" customFormat="false" ht="35.05" hidden="false" customHeight="false" outlineLevel="0" collapsed="false">
      <c r="A22" s="4" t="n">
        <v>17</v>
      </c>
      <c r="B22" s="4" t="s">
        <v>73</v>
      </c>
      <c r="C22" s="4" t="s">
        <v>96</v>
      </c>
      <c r="D22" s="4" t="s">
        <v>75</v>
      </c>
      <c r="E22" s="4" t="n">
        <v>2025</v>
      </c>
      <c r="F22" s="5" t="s">
        <v>97</v>
      </c>
      <c r="G22" s="4" t="s">
        <v>98</v>
      </c>
      <c r="H22" s="4" t="s">
        <v>24</v>
      </c>
      <c r="I22" s="4" t="s">
        <v>99</v>
      </c>
      <c r="J22" s="6" t="s">
        <v>24</v>
      </c>
      <c r="K22" s="6" t="s">
        <v>24</v>
      </c>
      <c r="L22" s="6" t="s">
        <v>26</v>
      </c>
      <c r="M22" s="6"/>
      <c r="N22" s="6" t="s">
        <v>26</v>
      </c>
      <c r="O22" s="6"/>
      <c r="P22" s="7" t="str">
        <f aca="false">IF(C22="","",IF(COUNTIF(J22,"Y")+COUNTIF(L22,"Y")+COUNTIF(N22,"Y")&gt;0,"Y",IF(COUNTIF(J22,"N")+COUNTIF(L22,"N")+COUNTIF(N22,"N")=3,"N","")))</f>
        <v>Y</v>
      </c>
      <c r="Q22" s="7" t="str">
        <f aca="false">IF(C22="","",IF(COUNTIF(K22,"Y")+COUNTIF(M22,"Y")+COUNTIF(O22,"Y")&gt;0,"Y",IF(COUNTIF(K22,"N")+COUNTIF(M22,"N")+COUNTIF(O22,"N")&gt;0,"N","")))</f>
        <v>Y</v>
      </c>
      <c r="R22" s="7" t="str">
        <f aca="false">IF(C22="","",IF(H22&lt;&gt;"Y","Not counted",IF(P22="N","Not indexed",IF(Q22="Y","Hit",IF(AND(P22="Y",Q22="N"),"Miss","Pending")))))</f>
        <v>Hit</v>
      </c>
    </row>
    <row r="23" customFormat="false" ht="35.05" hidden="false" customHeight="false" outlineLevel="0" collapsed="false">
      <c r="A23" s="4" t="n">
        <v>18</v>
      </c>
      <c r="B23" s="4" t="s">
        <v>73</v>
      </c>
      <c r="C23" s="4" t="s">
        <v>100</v>
      </c>
      <c r="D23" s="4" t="s">
        <v>101</v>
      </c>
      <c r="E23" s="4" t="n">
        <v>2023</v>
      </c>
      <c r="F23" s="5" t="s">
        <v>102</v>
      </c>
      <c r="G23" s="4" t="s">
        <v>103</v>
      </c>
      <c r="H23" s="4" t="s">
        <v>24</v>
      </c>
      <c r="I23" s="4" t="s">
        <v>104</v>
      </c>
      <c r="J23" s="6" t="s">
        <v>24</v>
      </c>
      <c r="K23" s="6" t="s">
        <v>24</v>
      </c>
      <c r="L23" s="6" t="s">
        <v>26</v>
      </c>
      <c r="M23" s="6"/>
      <c r="N23" s="6" t="s">
        <v>26</v>
      </c>
      <c r="O23" s="6"/>
      <c r="P23" s="7" t="str">
        <f aca="false">IF(C23="","",IF(COUNTIF(J23,"Y")+COUNTIF(L23,"Y")+COUNTIF(N23,"Y")&gt;0,"Y",IF(COUNTIF(J23,"N")+COUNTIF(L23,"N")+COUNTIF(N23,"N")=3,"N","")))</f>
        <v>Y</v>
      </c>
      <c r="Q23" s="7" t="str">
        <f aca="false">IF(C23="","",IF(COUNTIF(K23,"Y")+COUNTIF(M23,"Y")+COUNTIF(O23,"Y")&gt;0,"Y",IF(COUNTIF(K23,"N")+COUNTIF(M23,"N")+COUNTIF(O23,"N")&gt;0,"N","")))</f>
        <v>Y</v>
      </c>
      <c r="R23" s="7" t="str">
        <f aca="false">IF(C23="","",IF(H23&lt;&gt;"Y","Not counted",IF(P23="N","Not indexed",IF(Q23="Y","Hit",IF(AND(P23="Y",Q23="N"),"Miss","Pending")))))</f>
        <v>Hit</v>
      </c>
    </row>
    <row r="24" customFormat="false" ht="19.5" hidden="false" customHeight="true" outlineLevel="0" collapsed="false">
      <c r="A24" s="3" t="s">
        <v>105</v>
      </c>
      <c r="B24" s="3"/>
      <c r="C24" s="3"/>
      <c r="D24" s="3"/>
      <c r="E24" s="3"/>
      <c r="F24" s="3"/>
      <c r="G24" s="3"/>
      <c r="H24" s="3"/>
      <c r="I24" s="3"/>
      <c r="J24" s="3"/>
      <c r="K24" s="3"/>
      <c r="L24" s="3"/>
      <c r="M24" s="3"/>
      <c r="N24" s="3"/>
      <c r="O24" s="3"/>
      <c r="P24" s="3"/>
      <c r="Q24" s="3"/>
      <c r="R24" s="3"/>
    </row>
    <row r="25" customFormat="false" ht="23.85" hidden="false" customHeight="false" outlineLevel="0" collapsed="false">
      <c r="A25" s="4" t="n">
        <v>19</v>
      </c>
      <c r="B25" s="4" t="s">
        <v>106</v>
      </c>
      <c r="C25" s="4" t="s">
        <v>107</v>
      </c>
      <c r="D25" s="4" t="s">
        <v>108</v>
      </c>
      <c r="E25" s="4" t="n">
        <v>2026</v>
      </c>
      <c r="F25" s="5" t="s">
        <v>109</v>
      </c>
      <c r="G25" s="4" t="s">
        <v>110</v>
      </c>
      <c r="H25" s="4" t="s">
        <v>24</v>
      </c>
      <c r="I25" s="4" t="s">
        <v>111</v>
      </c>
      <c r="J25" s="6" t="s">
        <v>24</v>
      </c>
      <c r="K25" s="6" t="s">
        <v>24</v>
      </c>
      <c r="L25" s="6" t="s">
        <v>24</v>
      </c>
      <c r="M25" s="6" t="s">
        <v>24</v>
      </c>
      <c r="N25" s="6" t="s">
        <v>26</v>
      </c>
      <c r="O25" s="6"/>
      <c r="P25" s="7" t="str">
        <f aca="false">IF(C25="","",IF(COUNTIF(J25,"Y")+COUNTIF(L25,"Y")+COUNTIF(N25,"Y")&gt;0,"Y",IF(COUNTIF(J25,"N")+COUNTIF(L25,"N")+COUNTIF(N25,"N")=3,"N","")))</f>
        <v>Y</v>
      </c>
      <c r="Q25" s="7" t="str">
        <f aca="false">IF(C25="","",IF(COUNTIF(K25,"Y")+COUNTIF(M25,"Y")+COUNTIF(O25,"Y")&gt;0,"Y",IF(COUNTIF(K25,"N")+COUNTIF(M25,"N")+COUNTIF(O25,"N")&gt;0,"N","")))</f>
        <v>Y</v>
      </c>
      <c r="R25" s="7" t="str">
        <f aca="false">IF(C25="","",IF(H25&lt;&gt;"Y","Not counted",IF(P25="N","Not indexed",IF(Q25="Y","Hit",IF(AND(P25="Y",Q25="N"),"Miss","Pending")))))</f>
        <v>Hit</v>
      </c>
    </row>
    <row r="26" customFormat="false" ht="35.05" hidden="false" customHeight="false" outlineLevel="0" collapsed="false">
      <c r="A26" s="4" t="n">
        <v>20</v>
      </c>
      <c r="B26" s="4" t="s">
        <v>106</v>
      </c>
      <c r="C26" s="4" t="s">
        <v>112</v>
      </c>
      <c r="D26" s="4" t="s">
        <v>113</v>
      </c>
      <c r="E26" s="4" t="n">
        <v>2021</v>
      </c>
      <c r="F26" s="5" t="s">
        <v>114</v>
      </c>
      <c r="G26" s="4" t="s">
        <v>115</v>
      </c>
      <c r="H26" s="4" t="s">
        <v>24</v>
      </c>
      <c r="I26" s="4" t="s">
        <v>116</v>
      </c>
      <c r="J26" s="6" t="s">
        <v>24</v>
      </c>
      <c r="K26" s="6" t="s">
        <v>24</v>
      </c>
      <c r="L26" s="6" t="s">
        <v>26</v>
      </c>
      <c r="M26" s="6"/>
      <c r="N26" s="6" t="s">
        <v>26</v>
      </c>
      <c r="O26" s="6"/>
      <c r="P26" s="7" t="str">
        <f aca="false">IF(C26="","",IF(COUNTIF(J26,"Y")+COUNTIF(L26,"Y")+COUNTIF(N26,"Y")&gt;0,"Y",IF(COUNTIF(J26,"N")+COUNTIF(L26,"N")+COUNTIF(N26,"N")=3,"N","")))</f>
        <v>Y</v>
      </c>
      <c r="Q26" s="7" t="str">
        <f aca="false">IF(C26="","",IF(COUNTIF(K26,"Y")+COUNTIF(M26,"Y")+COUNTIF(O26,"Y")&gt;0,"Y",IF(COUNTIF(K26,"N")+COUNTIF(M26,"N")+COUNTIF(O26,"N")&gt;0,"N","")))</f>
        <v>Y</v>
      </c>
      <c r="R26" s="7" t="str">
        <f aca="false">IF(C26="","",IF(H26&lt;&gt;"Y","Not counted",IF(P26="N","Not indexed",IF(Q26="Y","Hit",IF(AND(P26="Y",Q26="N"),"Miss","Pending")))))</f>
        <v>Hit</v>
      </c>
    </row>
    <row r="27" customFormat="false" ht="35.05" hidden="false" customHeight="false" outlineLevel="0" collapsed="false">
      <c r="A27" s="4" t="n">
        <v>21</v>
      </c>
      <c r="B27" s="4" t="s">
        <v>106</v>
      </c>
      <c r="C27" s="4" t="s">
        <v>117</v>
      </c>
      <c r="D27" s="4" t="s">
        <v>118</v>
      </c>
      <c r="E27" s="4" t="n">
        <v>2023</v>
      </c>
      <c r="F27" s="5" t="s">
        <v>119</v>
      </c>
      <c r="G27" s="4" t="s">
        <v>120</v>
      </c>
      <c r="H27" s="4" t="s">
        <v>24</v>
      </c>
      <c r="I27" s="4" t="s">
        <v>121</v>
      </c>
      <c r="J27" s="6" t="s">
        <v>24</v>
      </c>
      <c r="K27" s="6" t="s">
        <v>24</v>
      </c>
      <c r="L27" s="6" t="s">
        <v>26</v>
      </c>
      <c r="M27" s="6"/>
      <c r="N27" s="6" t="s">
        <v>26</v>
      </c>
      <c r="O27" s="6"/>
      <c r="P27" s="7" t="str">
        <f aca="false">IF(C27="","",IF(COUNTIF(J27,"Y")+COUNTIF(L27,"Y")+COUNTIF(N27,"Y")&gt;0,"Y",IF(COUNTIF(J27,"N")+COUNTIF(L27,"N")+COUNTIF(N27,"N")=3,"N","")))</f>
        <v>Y</v>
      </c>
      <c r="Q27" s="7" t="str">
        <f aca="false">IF(C27="","",IF(COUNTIF(K27,"Y")+COUNTIF(M27,"Y")+COUNTIF(O27,"Y")&gt;0,"Y",IF(COUNTIF(K27,"N")+COUNTIF(M27,"N")+COUNTIF(O27,"N")&gt;0,"N","")))</f>
        <v>Y</v>
      </c>
      <c r="R27" s="7" t="str">
        <f aca="false">IF(C27="","",IF(H27&lt;&gt;"Y","Not counted",IF(P27="N","Not indexed",IF(Q27="Y","Hit",IF(AND(P27="Y",Q27="N"),"Miss","Pending")))))</f>
        <v>Hit</v>
      </c>
    </row>
    <row r="28" customFormat="false" ht="35.05" hidden="false" customHeight="false" outlineLevel="0" collapsed="false">
      <c r="A28" s="4" t="n">
        <v>22</v>
      </c>
      <c r="B28" s="4" t="s">
        <v>106</v>
      </c>
      <c r="C28" s="4" t="s">
        <v>122</v>
      </c>
      <c r="D28" s="4" t="s">
        <v>123</v>
      </c>
      <c r="E28" s="4" t="n">
        <v>2024</v>
      </c>
      <c r="F28" s="5" t="s">
        <v>124</v>
      </c>
      <c r="G28" s="4" t="s">
        <v>125</v>
      </c>
      <c r="H28" s="4" t="s">
        <v>24</v>
      </c>
      <c r="I28" s="4" t="s">
        <v>126</v>
      </c>
      <c r="J28" s="6" t="s">
        <v>24</v>
      </c>
      <c r="K28" s="6" t="s">
        <v>24</v>
      </c>
      <c r="L28" s="6" t="s">
        <v>26</v>
      </c>
      <c r="M28" s="6"/>
      <c r="N28" s="6" t="s">
        <v>26</v>
      </c>
      <c r="O28" s="6"/>
      <c r="P28" s="7" t="str">
        <f aca="false">IF(C28="","",IF(COUNTIF(J28,"Y")+COUNTIF(L28,"Y")+COUNTIF(N28,"Y")&gt;0,"Y",IF(COUNTIF(J28,"N")+COUNTIF(L28,"N")+COUNTIF(N28,"N")=3,"N","")))</f>
        <v>Y</v>
      </c>
      <c r="Q28" s="7" t="str">
        <f aca="false">IF(C28="","",IF(COUNTIF(K28,"Y")+COUNTIF(M28,"Y")+COUNTIF(O28,"Y")&gt;0,"Y",IF(COUNTIF(K28,"N")+COUNTIF(M28,"N")+COUNTIF(O28,"N")&gt;0,"N","")))</f>
        <v>Y</v>
      </c>
      <c r="R28" s="7" t="str">
        <f aca="false">IF(C28="","",IF(H28&lt;&gt;"Y","Not counted",IF(P28="N","Not indexed",IF(Q28="Y","Hit",IF(AND(P28="Y",Q28="N"),"Miss","Pending")))))</f>
        <v>Hit</v>
      </c>
    </row>
    <row r="29" customFormat="false" ht="46.25" hidden="false" customHeight="false" outlineLevel="0" collapsed="false">
      <c r="A29" s="4" t="n">
        <v>23</v>
      </c>
      <c r="B29" s="4" t="s">
        <v>106</v>
      </c>
      <c r="C29" s="4" t="s">
        <v>127</v>
      </c>
      <c r="D29" s="4" t="s">
        <v>57</v>
      </c>
      <c r="E29" s="4" t="n">
        <v>2026</v>
      </c>
      <c r="F29" s="5" t="s">
        <v>128</v>
      </c>
      <c r="G29" s="4"/>
      <c r="H29" s="4" t="s">
        <v>24</v>
      </c>
      <c r="I29" s="4" t="s">
        <v>129</v>
      </c>
      <c r="J29" s="6" t="s">
        <v>26</v>
      </c>
      <c r="K29" s="6"/>
      <c r="L29" s="6" t="s">
        <v>26</v>
      </c>
      <c r="M29" s="6"/>
      <c r="N29" s="6" t="s">
        <v>26</v>
      </c>
      <c r="O29" s="6"/>
      <c r="P29" s="7" t="str">
        <f aca="false">IF(C29="","",IF(COUNTIF(J29,"Y")+COUNTIF(L29,"Y")+COUNTIF(N29,"Y")&gt;0,"Y",IF(COUNTIF(J29,"N")+COUNTIF(L29,"N")+COUNTIF(N29,"N")=3,"N","")))</f>
        <v>N</v>
      </c>
      <c r="Q29" s="7" t="str">
        <f aca="false">IF(C29="","",IF(COUNTIF(K29,"Y")+COUNTIF(M29,"Y")+COUNTIF(O29,"Y")&gt;0,"Y",IF(COUNTIF(K29,"N")+COUNTIF(M29,"N")+COUNTIF(O29,"N")&gt;0,"N","")))</f>
        <v/>
      </c>
      <c r="R29" s="7" t="str">
        <f aca="false">IF(C29="","",IF(H29&lt;&gt;"Y","Not counted",IF(P29="N","Not indexed",IF(Q29="Y","Hit",IF(AND(P29="Y",Q29="N"),"Miss","Pending")))))</f>
        <v>Not indexed</v>
      </c>
    </row>
    <row r="30" customFormat="false" ht="35.05" hidden="false" customHeight="false" outlineLevel="0" collapsed="false">
      <c r="A30" s="4" t="n">
        <v>24</v>
      </c>
      <c r="B30" s="4" t="s">
        <v>106</v>
      </c>
      <c r="C30" s="4" t="s">
        <v>130</v>
      </c>
      <c r="D30" s="4" t="s">
        <v>22</v>
      </c>
      <c r="E30" s="4" t="n">
        <v>2025</v>
      </c>
      <c r="F30" s="5" t="s">
        <v>131</v>
      </c>
      <c r="G30" s="4"/>
      <c r="H30" s="4" t="s">
        <v>24</v>
      </c>
      <c r="I30" s="4" t="s">
        <v>132</v>
      </c>
      <c r="J30" s="6" t="s">
        <v>24</v>
      </c>
      <c r="K30" s="6" t="s">
        <v>24</v>
      </c>
      <c r="L30" s="6" t="s">
        <v>26</v>
      </c>
      <c r="M30" s="6"/>
      <c r="N30" s="6" t="s">
        <v>26</v>
      </c>
      <c r="O30" s="6"/>
      <c r="P30" s="7" t="str">
        <f aca="false">IF(C30="","",IF(COUNTIF(J30,"Y")+COUNTIF(L30,"Y")+COUNTIF(N30,"Y")&gt;0,"Y",IF(COUNTIF(J30,"N")+COUNTIF(L30,"N")+COUNTIF(N30,"N")=3,"N","")))</f>
        <v>Y</v>
      </c>
      <c r="Q30" s="7" t="str">
        <f aca="false">IF(C30="","",IF(COUNTIF(K30,"Y")+COUNTIF(M30,"Y")+COUNTIF(O30,"Y")&gt;0,"Y",IF(COUNTIF(K30,"N")+COUNTIF(M30,"N")+COUNTIF(O30,"N")&gt;0,"N","")))</f>
        <v>Y</v>
      </c>
      <c r="R30" s="7" t="str">
        <f aca="false">IF(C30="","",IF(H30&lt;&gt;"Y","Not counted",IF(P30="N","Not indexed",IF(Q30="Y","Hit",IF(AND(P30="Y",Q30="N"),"Miss","Pending")))))</f>
        <v>Hit</v>
      </c>
    </row>
    <row r="31" customFormat="false" ht="35.05" hidden="false" customHeight="false" outlineLevel="0" collapsed="false">
      <c r="A31" s="4" t="n">
        <v>25</v>
      </c>
      <c r="B31" s="4" t="s">
        <v>106</v>
      </c>
      <c r="C31" s="4" t="s">
        <v>133</v>
      </c>
      <c r="D31" s="4" t="s">
        <v>134</v>
      </c>
      <c r="E31" s="4" t="n">
        <v>2024</v>
      </c>
      <c r="F31" s="5" t="s">
        <v>135</v>
      </c>
      <c r="G31" s="4" t="s">
        <v>136</v>
      </c>
      <c r="H31" s="4" t="s">
        <v>24</v>
      </c>
      <c r="I31" s="4" t="s">
        <v>137</v>
      </c>
      <c r="J31" s="6" t="s">
        <v>24</v>
      </c>
      <c r="K31" s="6" t="s">
        <v>24</v>
      </c>
      <c r="L31" s="6" t="s">
        <v>26</v>
      </c>
      <c r="M31" s="6"/>
      <c r="N31" s="6" t="s">
        <v>26</v>
      </c>
      <c r="O31" s="6"/>
      <c r="P31" s="7" t="str">
        <f aca="false">IF(C31="","",IF(COUNTIF(J31,"Y")+COUNTIF(L31,"Y")+COUNTIF(N31,"Y")&gt;0,"Y",IF(COUNTIF(J31,"N")+COUNTIF(L31,"N")+COUNTIF(N31,"N")=3,"N","")))</f>
        <v>Y</v>
      </c>
      <c r="Q31" s="7" t="str">
        <f aca="false">IF(C31="","",IF(COUNTIF(K31,"Y")+COUNTIF(M31,"Y")+COUNTIF(O31,"Y")&gt;0,"Y",IF(COUNTIF(K31,"N")+COUNTIF(M31,"N")+COUNTIF(O31,"N")&gt;0,"N","")))</f>
        <v>Y</v>
      </c>
      <c r="R31" s="7" t="str">
        <f aca="false">IF(C31="","",IF(H31&lt;&gt;"Y","Not counted",IF(P31="N","Not indexed",IF(Q31="Y","Hit",IF(AND(P31="Y",Q31="N"),"Miss","Pending")))))</f>
        <v>Hit</v>
      </c>
    </row>
    <row r="32" customFormat="false" ht="35.05" hidden="false" customHeight="false" outlineLevel="0" collapsed="false">
      <c r="A32" s="4" t="n">
        <v>26</v>
      </c>
      <c r="B32" s="4" t="s">
        <v>106</v>
      </c>
      <c r="C32" s="4" t="s">
        <v>138</v>
      </c>
      <c r="D32" s="4" t="s">
        <v>22</v>
      </c>
      <c r="E32" s="4" t="n">
        <v>2025</v>
      </c>
      <c r="F32" s="5" t="s">
        <v>131</v>
      </c>
      <c r="G32" s="4"/>
      <c r="H32" s="4" t="s">
        <v>24</v>
      </c>
      <c r="I32" s="4" t="s">
        <v>139</v>
      </c>
      <c r="J32" s="6" t="s">
        <v>24</v>
      </c>
      <c r="K32" s="6" t="s">
        <v>24</v>
      </c>
      <c r="L32" s="6" t="s">
        <v>26</v>
      </c>
      <c r="M32" s="6"/>
      <c r="N32" s="6" t="s">
        <v>26</v>
      </c>
      <c r="O32" s="6"/>
      <c r="P32" s="7" t="str">
        <f aca="false">IF(C32="","",IF(COUNTIF(J32,"Y")+COUNTIF(L32,"Y")+COUNTIF(N32,"Y")&gt;0,"Y",IF(COUNTIF(J32,"N")+COUNTIF(L32,"N")+COUNTIF(N32,"N")=3,"N","")))</f>
        <v>Y</v>
      </c>
      <c r="Q32" s="7" t="str">
        <f aca="false">IF(C32="","",IF(COUNTIF(K32,"Y")+COUNTIF(M32,"Y")+COUNTIF(O32,"Y")&gt;0,"Y",IF(COUNTIF(K32,"N")+COUNTIF(M32,"N")+COUNTIF(O32,"N")&gt;0,"N","")))</f>
        <v>Y</v>
      </c>
      <c r="R32" s="7" t="str">
        <f aca="false">IF(C32="","",IF(H32&lt;&gt;"Y","Not counted",IF(P32="N","Not indexed",IF(Q32="Y","Hit",IF(AND(P32="Y",Q32="N"),"Miss","Pending")))))</f>
        <v>Hit</v>
      </c>
    </row>
  </sheetData>
  <mergeCells count="4">
    <mergeCell ref="A3:R3"/>
    <mergeCell ref="A11:R11"/>
    <mergeCell ref="A16:R16"/>
    <mergeCell ref="A24:R24"/>
  </mergeCells>
  <conditionalFormatting sqref="R3:R60">
    <cfRule type="expression" priority="2" aboveAverage="0" equalAverage="0" bottom="0" percent="0" rank="0" text="" dxfId="0">
      <formula>R3="Hit"</formula>
    </cfRule>
    <cfRule type="expression" priority="3" aboveAverage="0" equalAverage="0" bottom="0" percent="0" rank="0" text="" dxfId="1">
      <formula>R3="Miss"</formula>
    </cfRule>
    <cfRule type="expression" priority="4" aboveAverage="0" equalAverage="0" bottom="0" percent="0" rank="0" text="" dxfId="2">
      <formula>R3="Not indexed"</formula>
    </cfRule>
  </conditionalFormatting>
  <dataValidations count="2">
    <dataValidation allowBlank="true" errorStyle="stop" operator="between" showDropDown="false" showErrorMessage="false" showInputMessage="false" sqref="J4:O10 J12:O15 J17:O23 J25:O32" type="list">
      <formula1>"Y,N"</formula1>
      <formula2>0</formula2>
    </dataValidation>
    <dataValidation allowBlank="true" errorStyle="stop" operator="between" showDropDown="false" showErrorMessage="false" showInputMessage="false" sqref="H4:H10 H12:H15 H17:H23 H25:H32" type="list">
      <formula1>"Y,N,?"</formula1>
      <formula2>0</formula2>
    </dataValidation>
  </dataValidations>
  <hyperlinks>
    <hyperlink ref="F4" r:id="rId1" display="https://proceedings.iclr.cc/paper_files/paper/2025/hash/b71ecea210f7159f31e46631fe5c838f-Abstract-Conference.html"/>
    <hyperlink ref="F5" r:id="rId2" display="https://proceedings.iclr.cc/paper_files/paper/2025/hash/da2411768acb844b255bb6770e5a71c7-Abstract-Conference.html"/>
    <hyperlink ref="F6" r:id="rId3" display="https://proceedings.neurips.cc/paper_files/paper/2024/hash/6bdde0373d53d4a501249547084bed43-Abstract-Conference.html"/>
    <hyperlink ref="F7" r:id="rId4" display="https://ojs.aaai.org/index.php/AAAI/article/view/42465"/>
    <hyperlink ref="F8" r:id="rId5" display="https://openaccess.thecvf.com/content/CVPR2026/html/Mao_Yume1.5_A_Text-Controlled_Interactive_World_Generation_Model_CVPR_2026_paper.html"/>
    <hyperlink ref="F9" r:id="rId6" display="https://doi.org/10.1109/ICCV51701.2025.01012"/>
    <hyperlink ref="F10" r:id="rId7" display="https://www.nature.com/articles/s41586-025-08600-3"/>
    <hyperlink ref="F12" r:id="rId8" display="https://proceedings.iclr.cc/paper_files/paper/2026/hash/5b4263be85820683d78675cc18d2efc7-Abstract-Conference.html"/>
    <hyperlink ref="F13" r:id="rId9" display="https://proceedings.mlr.press/v235/bruce24a.html"/>
    <hyperlink ref="F14" r:id="rId10" display="https://dl.acm.org/doi/full/10.1145/3635705"/>
    <hyperlink ref="F15" r:id="rId11" display="https://proceedings.iclr.cc/paper_files/paper/2025/hash/7d03c6bf9f07acb4038eea96c63db52d-Abstract-Conference.html"/>
    <hyperlink ref="F17" r:id="rId12" display="https://proceedings.neurips.cc/paper_files/paper/2025/hash/470629a47e2d65ce0606c40055df5d26-Abstract-Conference.html"/>
    <hyperlink ref="F18" r:id="rId13" display="https://proceedings.neurips.cc/paper_files/paper/2025/hash/97c903fbf21a7d863af2015d8803ca8f-Abstract-Conference.html"/>
    <hyperlink ref="F19" r:id="rId14" display="https://proceedings.neurips.cc/paper_files/paper/2025/hash/467655d26fcc207bca08915dc91964c6-Abstract-Conference.html"/>
    <hyperlink ref="F20" r:id="rId15" display="https://proceedings.neurips.cc/paper_files/paper/2025/hash/da7d7341051b4e0444cc96c78f1e4df9-Abstract-Conference.html"/>
    <hyperlink ref="F21" r:id="rId16" display="https://doi.org/10.1145/3832928.3832995"/>
    <hyperlink ref="F22" r:id="rId17" display="https://doi.org/10.52202/085713-4177"/>
    <hyperlink ref="F23" r:id="rId18" display="https://doi.org/10.52202/075280-1182"/>
    <hyperlink ref="F25" r:id="rId19" display="https://doi.org/10.1109/ACCESS.2026.3726084"/>
    <hyperlink ref="F26" r:id="rId20" display="https://doi.org/10.1111/exsy.12537"/>
    <hyperlink ref="F27" r:id="rId21" display="https://doi.org/10.1007/s11063-023-11381-3"/>
    <hyperlink ref="F28" r:id="rId22" display="https://doi.org/10.1016/j.cogsys.2024.101306"/>
    <hyperlink ref="F29" r:id="rId23" display="https://proceedings.iclr.cc/paper_files/paper/2026"/>
    <hyperlink ref="F30" r:id="rId24" display="https://proceedings.iclr.cc/paper_files/paper/2025"/>
    <hyperlink ref="F31" r:id="rId25" display="https://doi.org/10.1038/s41598-024-65631-y"/>
    <hyperlink ref="F32" r:id="rId26" display="https://proceedings.iclr.cc/paper_files/paper/202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5"/>
  </cols>
  <sheetData>
    <row r="1" customFormat="false" ht="16.15" hidden="false" customHeight="false" outlineLevel="0" collapsed="false">
      <c r="A1" s="1" t="s">
        <v>140</v>
      </c>
    </row>
    <row r="2" customFormat="false" ht="25.5" hidden="false" customHeight="true" outlineLevel="0" collapsed="false">
      <c r="A2" s="8" t="s">
        <v>141</v>
      </c>
      <c r="B2" s="8"/>
      <c r="C2" s="8"/>
      <c r="D2" s="8"/>
      <c r="E2" s="8"/>
      <c r="F2" s="8"/>
    </row>
    <row r="4" customFormat="false" ht="15" hidden="false" customHeight="false" outlineLevel="0" collapsed="false">
      <c r="A4" s="9" t="s">
        <v>142</v>
      </c>
    </row>
    <row r="5" customFormat="false" ht="27.75" hidden="false" customHeight="true" outlineLevel="0" collapsed="false">
      <c r="A5" s="2" t="s">
        <v>143</v>
      </c>
      <c r="B5" s="2" t="s">
        <v>144</v>
      </c>
      <c r="C5" s="2" t="s">
        <v>145</v>
      </c>
      <c r="D5" s="2" t="s">
        <v>146</v>
      </c>
      <c r="E5" s="2" t="s">
        <v>147</v>
      </c>
    </row>
    <row r="6" customFormat="false" ht="15" hidden="false" customHeight="false" outlineLevel="0" collapsed="false">
      <c r="A6" s="10" t="s">
        <v>148</v>
      </c>
      <c r="B6" s="11" t="n">
        <v>491</v>
      </c>
      <c r="C6" s="11" t="n">
        <v>25</v>
      </c>
      <c r="D6" s="11" t="n">
        <v>0</v>
      </c>
      <c r="E6" s="7" t="n">
        <f aca="false">B6-D6</f>
        <v>491</v>
      </c>
    </row>
    <row r="7" customFormat="false" ht="15" hidden="false" customHeight="false" outlineLevel="0" collapsed="false">
      <c r="A7" s="10" t="s">
        <v>149</v>
      </c>
      <c r="B7" s="11" t="n">
        <v>307</v>
      </c>
      <c r="C7" s="11" t="n">
        <v>18</v>
      </c>
      <c r="D7" s="11" t="n">
        <v>25</v>
      </c>
      <c r="E7" s="7" t="n">
        <f aca="false">B7-D7</f>
        <v>282</v>
      </c>
    </row>
    <row r="8" customFormat="false" ht="15" hidden="false" customHeight="false" outlineLevel="0" collapsed="false">
      <c r="A8" s="10" t="s">
        <v>150</v>
      </c>
      <c r="B8" s="11" t="n">
        <v>35</v>
      </c>
      <c r="C8" s="11" t="n">
        <v>4</v>
      </c>
      <c r="D8" s="11" t="n">
        <v>0</v>
      </c>
      <c r="E8" s="7" t="n">
        <f aca="false">B8-D8</f>
        <v>35</v>
      </c>
    </row>
    <row r="9" customFormat="false" ht="15" hidden="false" customHeight="false" outlineLevel="0" collapsed="false">
      <c r="A9" s="12" t="s">
        <v>151</v>
      </c>
      <c r="B9" s="13" t="n">
        <f aca="false">SUM(B6:B8)</f>
        <v>833</v>
      </c>
      <c r="C9" s="13" t="n">
        <f aca="false">SUM(C6:C8)</f>
        <v>47</v>
      </c>
      <c r="D9" s="13" t="n">
        <f aca="false">SUM(D6:D8)</f>
        <v>25</v>
      </c>
      <c r="E9" s="13" t="n">
        <f aca="false">SUM(E6:E8)</f>
        <v>808</v>
      </c>
    </row>
    <row r="10" customFormat="false" ht="25.5" hidden="false" customHeight="true" outlineLevel="0" collapsed="false">
      <c r="A10" s="8" t="s">
        <v>152</v>
      </c>
      <c r="B10" s="8"/>
      <c r="C10" s="8"/>
      <c r="D10" s="8"/>
      <c r="E10" s="8"/>
      <c r="F10" s="8"/>
    </row>
    <row r="12" customFormat="false" ht="15" hidden="false" customHeight="false" outlineLevel="0" collapsed="false">
      <c r="A12" s="9" t="s">
        <v>153</v>
      </c>
    </row>
    <row r="13" customFormat="false" ht="27.75" hidden="false" customHeight="true" outlineLevel="0" collapsed="false">
      <c r="A13" s="2" t="s">
        <v>154</v>
      </c>
      <c r="B13" s="2" t="s">
        <v>155</v>
      </c>
    </row>
    <row r="14" customFormat="false" ht="15" hidden="false" customHeight="false" outlineLevel="0" collapsed="false">
      <c r="A14" s="10" t="s">
        <v>156</v>
      </c>
      <c r="B14" s="7" t="n">
        <f aca="false">B9</f>
        <v>833</v>
      </c>
    </row>
    <row r="15" customFormat="false" ht="15" hidden="false" customHeight="false" outlineLevel="0" collapsed="false">
      <c r="A15" s="10" t="s">
        <v>157</v>
      </c>
      <c r="B15" s="7" t="n">
        <f aca="false">D9</f>
        <v>25</v>
      </c>
    </row>
    <row r="16" customFormat="false" ht="15" hidden="false" customHeight="false" outlineLevel="0" collapsed="false">
      <c r="A16" s="10" t="s">
        <v>158</v>
      </c>
      <c r="B16" s="11" t="n">
        <v>146</v>
      </c>
    </row>
    <row r="17" customFormat="false" ht="15" hidden="false" customHeight="false" outlineLevel="0" collapsed="false">
      <c r="A17" s="12" t="s">
        <v>159</v>
      </c>
      <c r="B17" s="13" t="n">
        <f aca="false">B14-B15-B16</f>
        <v>662</v>
      </c>
    </row>
    <row r="18" customFormat="false" ht="25.5" hidden="false" customHeight="true" outlineLevel="0" collapsed="false">
      <c r="A18" s="8" t="s">
        <v>160</v>
      </c>
      <c r="B18" s="8"/>
      <c r="C18" s="8"/>
      <c r="D18" s="8"/>
      <c r="E18" s="8"/>
      <c r="F18" s="8"/>
    </row>
    <row r="20" customFormat="false" ht="15" hidden="false" customHeight="false" outlineLevel="0" collapsed="false">
      <c r="A20" s="9" t="s">
        <v>161</v>
      </c>
    </row>
    <row r="21" customFormat="false" ht="27.75" hidden="false" customHeight="true" outlineLevel="0" collapsed="false">
      <c r="A21" s="2" t="s">
        <v>143</v>
      </c>
      <c r="B21" s="2" t="s">
        <v>162</v>
      </c>
      <c r="C21" s="2" t="s">
        <v>163</v>
      </c>
      <c r="D21" s="2" t="s">
        <v>164</v>
      </c>
      <c r="E21" s="2" t="s">
        <v>165</v>
      </c>
      <c r="F21" s="2" t="s">
        <v>166</v>
      </c>
    </row>
    <row r="22" customFormat="false" ht="15" hidden="false" customHeight="false" outlineLevel="0" collapsed="false">
      <c r="A22" s="10" t="s">
        <v>148</v>
      </c>
      <c r="B22" s="7" t="n">
        <f aca="false">COUNTIFS('Gold set'!$H$3:$H$60,"Y",'Gold set'!$J$3:$J$60,"Y")</f>
        <v>22</v>
      </c>
      <c r="C22" s="7" t="n">
        <f aca="false">COUNTIFS('Gold set'!$H$3:$H$60,"Y",'Gold set'!$J$3:$J$60,"Y",'Gold set'!$K$3:$K$60,"Y")</f>
        <v>19</v>
      </c>
      <c r="D22" s="14" t="n">
        <f aca="false">IF(B22=0,"",C22/B22)</f>
        <v>0.863636363636364</v>
      </c>
      <c r="E22" s="14" t="n">
        <f aca="false">IF(B22=0,"",(D22+$B$27^2/(2*B22)-$B$27*SQRT(D22*(1-D22)/B22+$B$27^2/(4*B22^2)))/(1+$B$27^2/B22))</f>
        <v>0.6666458812053</v>
      </c>
      <c r="F22" s="14" t="n">
        <f aca="false">IF(B22=0,"",(D22+$B$27^2/(2*B22)+$B$27*SQRT(D22*(1-D22)/B22+$B$27^2/(4*B22^2)))/(1+$B$27^2/B22))</f>
        <v>0.952510827357637</v>
      </c>
    </row>
    <row r="23" customFormat="false" ht="15" hidden="false" customHeight="false" outlineLevel="0" collapsed="false">
      <c r="A23" s="10" t="s">
        <v>149</v>
      </c>
      <c r="B23" s="7" t="n">
        <f aca="false">COUNTIFS('Gold set'!$H$3:$H$60,"Y",'Gold set'!$L$3:$L$60,"Y")</f>
        <v>2</v>
      </c>
      <c r="C23" s="7" t="n">
        <f aca="false">COUNTIFS('Gold set'!$H$3:$H$60,"Y",'Gold set'!$L$3:$L$60,"Y",'Gold set'!$M$3:$M$60,"Y")</f>
        <v>2</v>
      </c>
      <c r="D23" s="14" t="n">
        <f aca="false">IF(B23=0,"",C23/B23)</f>
        <v>1</v>
      </c>
      <c r="E23" s="14" t="n">
        <f aca="false">IF(B23=0,"",(D23+$B$27^2/(2*B23)-$B$27*SQRT(D23*(1-D23)/B23+$B$27^2/(4*B23^2)))/(1+$B$27^2/B23))</f>
        <v>0.342371952889619</v>
      </c>
      <c r="F23" s="14" t="n">
        <f aca="false">IF(B23=0,"",(D23+$B$27^2/(2*B23)+$B$27*SQRT(D23*(1-D23)/B23+$B$27^2/(4*B23^2)))/(1+$B$27^2/B23))</f>
        <v>1</v>
      </c>
    </row>
    <row r="24" customFormat="false" ht="15" hidden="false" customHeight="false" outlineLevel="0" collapsed="false">
      <c r="A24" s="10" t="s">
        <v>150</v>
      </c>
      <c r="B24" s="7" t="n">
        <f aca="false">COUNTIFS('Gold set'!$H$3:$H$60,"Y",'Gold set'!$N$3:$N$60,"Y")</f>
        <v>2</v>
      </c>
      <c r="C24" s="7" t="n">
        <f aca="false">COUNTIFS('Gold set'!$H$3:$H$60,"Y",'Gold set'!$N$3:$N$60,"Y",'Gold set'!$O$3:$O$60,"Y")</f>
        <v>2</v>
      </c>
      <c r="D24" s="14" t="n">
        <f aca="false">IF(B24=0,"",C24/B24)</f>
        <v>1</v>
      </c>
      <c r="E24" s="14" t="n">
        <f aca="false">IF(B24=0,"",(D24+$B$27^2/(2*B24)-$B$27*SQRT(D24*(1-D24)/B24+$B$27^2/(4*B24^2)))/(1+$B$27^2/B24))</f>
        <v>0.342371952889619</v>
      </c>
      <c r="F24" s="14" t="n">
        <f aca="false">IF(B24=0,"",(D24+$B$27^2/(2*B24)+$B$27*SQRT(D24*(1-D24)/B24+$B$27^2/(4*B24^2)))/(1+$B$27^2/B24))</f>
        <v>1</v>
      </c>
    </row>
    <row r="25" customFormat="false" ht="15" hidden="false" customHeight="false" outlineLevel="0" collapsed="false">
      <c r="A25" s="12" t="s">
        <v>167</v>
      </c>
      <c r="B25" s="13" t="n">
        <f aca="false">COUNTIFS('Gold set'!$R$3:$R$60,"Hit")+COUNTIFS('Gold set'!$R$3:$R$60,"Miss")</f>
        <v>23</v>
      </c>
      <c r="C25" s="13" t="n">
        <f aca="false">COUNTIFS('Gold set'!$R$3:$R$60,"Hit")</f>
        <v>20</v>
      </c>
      <c r="D25" s="15" t="n">
        <f aca="false">IF(B25=0,"",C25/B25)</f>
        <v>0.869565217391304</v>
      </c>
      <c r="E25" s="15" t="n">
        <f aca="false">IF(B25=0,"",(D25+$B$27^2/(2*B25)-$B$27*SQRT(D25*(1-D25)/B25+$B$27^2/(4*B25^2)))/(1+$B$27^2/B25))</f>
        <v>0.678721020269818</v>
      </c>
      <c r="F25" s="15" t="n">
        <f aca="false">IF(B25=0,"",(D25+$B$27^2/(2*B25)+$B$27*SQRT(D25*(1-D25)/B25+$B$27^2/(4*B25^2)))/(1+$B$27^2/B25))</f>
        <v>0.954624234856553</v>
      </c>
    </row>
    <row r="26" customFormat="false" ht="15" hidden="false" customHeight="true" outlineLevel="0" collapsed="false">
      <c r="A26" s="8" t="s">
        <v>168</v>
      </c>
      <c r="B26" s="8"/>
      <c r="C26" s="8"/>
      <c r="D26" s="8"/>
      <c r="E26" s="8"/>
      <c r="F26" s="8"/>
    </row>
    <row r="27" customFormat="false" ht="15" hidden="false" customHeight="false" outlineLevel="0" collapsed="false">
      <c r="A27" s="16" t="s">
        <v>169</v>
      </c>
      <c r="B27" s="17" t="n">
        <v>1.96</v>
      </c>
    </row>
    <row r="29" customFormat="false" ht="15" hidden="false" customHeight="false" outlineLevel="0" collapsed="false">
      <c r="A29" s="9" t="s">
        <v>170</v>
      </c>
    </row>
    <row r="30" customFormat="false" ht="27.75" hidden="false" customHeight="true" outlineLevel="0" collapsed="false">
      <c r="A30" s="2" t="s">
        <v>18</v>
      </c>
      <c r="B30" s="2" t="s">
        <v>171</v>
      </c>
      <c r="C30" s="2" t="s">
        <v>172</v>
      </c>
      <c r="D30" s="2"/>
      <c r="E30" s="2"/>
      <c r="F30" s="2"/>
    </row>
    <row r="31" customFormat="false" ht="15" hidden="false" customHeight="true" outlineLevel="0" collapsed="false">
      <c r="A31" s="10" t="s">
        <v>173</v>
      </c>
      <c r="B31" s="7" t="n">
        <f aca="false">COUNTIF('Gold set'!$R$3:$R$60,"Hit")</f>
        <v>20</v>
      </c>
      <c r="C31" s="10" t="s">
        <v>174</v>
      </c>
      <c r="D31" s="10"/>
      <c r="E31" s="10"/>
      <c r="F31" s="10"/>
    </row>
    <row r="32" customFormat="false" ht="25.5" hidden="false" customHeight="true" outlineLevel="0" collapsed="false">
      <c r="A32" s="10" t="s">
        <v>175</v>
      </c>
      <c r="B32" s="7" t="n">
        <f aca="false">COUNTIF('Gold set'!$R$3:$R$60,"Miss")</f>
        <v>3</v>
      </c>
      <c r="C32" s="10" t="s">
        <v>176</v>
      </c>
      <c r="D32" s="10"/>
      <c r="E32" s="10"/>
      <c r="F32" s="10"/>
    </row>
    <row r="33" customFormat="false" ht="25.5" hidden="false" customHeight="true" outlineLevel="0" collapsed="false">
      <c r="A33" s="10" t="s">
        <v>177</v>
      </c>
      <c r="B33" s="7" t="n">
        <f aca="false">COUNTIF('Gold set'!$R$3:$R$60,"Not indexed")</f>
        <v>3</v>
      </c>
      <c r="C33" s="10" t="s">
        <v>178</v>
      </c>
      <c r="D33" s="10"/>
      <c r="E33" s="10"/>
      <c r="F33" s="10"/>
    </row>
    <row r="34" customFormat="false" ht="15" hidden="false" customHeight="true" outlineLevel="0" collapsed="false">
      <c r="A34" s="10" t="s">
        <v>179</v>
      </c>
      <c r="B34" s="7" t="n">
        <f aca="false">COUNTIF('Gold set'!$R$3:$R$60,"Pending")</f>
        <v>0</v>
      </c>
      <c r="C34" s="10" t="s">
        <v>180</v>
      </c>
      <c r="D34" s="10"/>
      <c r="E34" s="10"/>
      <c r="F34" s="10"/>
    </row>
    <row r="35" customFormat="false" ht="15" hidden="false" customHeight="true" outlineLevel="0" collapsed="false">
      <c r="A35" s="10" t="s">
        <v>181</v>
      </c>
      <c r="B35" s="7" t="n">
        <f aca="false">COUNTIF('Gold set'!$R$3:$R$60,"Not counted")</f>
        <v>0</v>
      </c>
      <c r="C35" s="10" t="s">
        <v>182</v>
      </c>
      <c r="D35" s="10"/>
      <c r="E35" s="10"/>
      <c r="F35" s="10"/>
    </row>
    <row r="36" customFormat="false" ht="15" hidden="false" customHeight="false" outlineLevel="0" collapsed="false">
      <c r="A36" s="12" t="s">
        <v>151</v>
      </c>
      <c r="B36" s="13" t="n">
        <f aca="false">SUM(B31:B35)</f>
        <v>26</v>
      </c>
      <c r="C36" s="18"/>
      <c r="D36" s="18"/>
      <c r="E36" s="18"/>
      <c r="F36" s="18"/>
    </row>
    <row r="38" customFormat="false" ht="15" hidden="false" customHeight="false" outlineLevel="0" collapsed="false">
      <c r="A38" s="9" t="s">
        <v>183</v>
      </c>
    </row>
    <row r="39" customFormat="false" ht="27.75" hidden="false" customHeight="true" outlineLevel="0" collapsed="false">
      <c r="A39" s="2" t="s">
        <v>2</v>
      </c>
      <c r="B39" s="2" t="s">
        <v>184</v>
      </c>
      <c r="C39" s="2" t="s">
        <v>173</v>
      </c>
      <c r="D39" s="2" t="s">
        <v>175</v>
      </c>
      <c r="E39" s="2" t="s">
        <v>177</v>
      </c>
    </row>
    <row r="40" customFormat="false" ht="15" hidden="false" customHeight="false" outlineLevel="0" collapsed="false">
      <c r="A40" s="10" t="s">
        <v>20</v>
      </c>
      <c r="B40" s="7" t="n">
        <f aca="false">COUNTIFS('Gold set'!$B$3:$B$60,A40,'Gold set'!$H$3:$H$60,"Y")</f>
        <v>7</v>
      </c>
      <c r="C40" s="7" t="n">
        <f aca="false">COUNTIFS('Gold set'!$B$3:$B$60,A40,'Gold set'!$R$3:$R$60,"Hit")</f>
        <v>5</v>
      </c>
      <c r="D40" s="7" t="n">
        <f aca="false">COUNTIFS('Gold set'!$B$3:$B$60,A40,'Gold set'!$R$3:$R$60,"Miss")</f>
        <v>1</v>
      </c>
      <c r="E40" s="7" t="n">
        <f aca="false">COUNTIFS('Gold set'!$B$3:$B$60,A40,'Gold set'!$R$3:$R$60,"Not indexed")</f>
        <v>1</v>
      </c>
    </row>
    <row r="41" customFormat="false" ht="15" hidden="false" customHeight="false" outlineLevel="0" collapsed="false">
      <c r="A41" s="10" t="s">
        <v>55</v>
      </c>
      <c r="B41" s="7" t="n">
        <f aca="false">COUNTIFS('Gold set'!$B$3:$B$60,A41,'Gold set'!$H$3:$H$60,"Y")</f>
        <v>4</v>
      </c>
      <c r="C41" s="7" t="n">
        <f aca="false">COUNTIFS('Gold set'!$B$3:$B$60,A41,'Gold set'!$R$3:$R$60,"Hit")</f>
        <v>2</v>
      </c>
      <c r="D41" s="7" t="n">
        <f aca="false">COUNTIFS('Gold set'!$B$3:$B$60,A41,'Gold set'!$R$3:$R$60,"Miss")</f>
        <v>1</v>
      </c>
      <c r="E41" s="7" t="n">
        <f aca="false">COUNTIFS('Gold set'!$B$3:$B$60,A41,'Gold set'!$R$3:$R$60,"Not indexed")</f>
        <v>1</v>
      </c>
    </row>
    <row r="42" customFormat="false" ht="15" hidden="false" customHeight="false" outlineLevel="0" collapsed="false">
      <c r="A42" s="10" t="s">
        <v>73</v>
      </c>
      <c r="B42" s="7" t="n">
        <f aca="false">COUNTIFS('Gold set'!$B$3:$B$60,A42,'Gold set'!$H$3:$H$60,"Y")</f>
        <v>7</v>
      </c>
      <c r="C42" s="7" t="n">
        <f aca="false">COUNTIFS('Gold set'!$B$3:$B$60,A42,'Gold set'!$R$3:$R$60,"Hit")</f>
        <v>6</v>
      </c>
      <c r="D42" s="7" t="n">
        <f aca="false">COUNTIFS('Gold set'!$B$3:$B$60,A42,'Gold set'!$R$3:$R$60,"Miss")</f>
        <v>1</v>
      </c>
      <c r="E42" s="7" t="n">
        <f aca="false">COUNTIFS('Gold set'!$B$3:$B$60,A42,'Gold set'!$R$3:$R$60,"Not indexed")</f>
        <v>0</v>
      </c>
    </row>
    <row r="43" customFormat="false" ht="15" hidden="false" customHeight="false" outlineLevel="0" collapsed="false">
      <c r="A43" s="10" t="s">
        <v>106</v>
      </c>
      <c r="B43" s="7" t="n">
        <f aca="false">COUNTIFS('Gold set'!$B$3:$B$60,A43,'Gold set'!$H$3:$H$60,"Y")</f>
        <v>8</v>
      </c>
      <c r="C43" s="7" t="n">
        <f aca="false">COUNTIFS('Gold set'!$B$3:$B$60,A43,'Gold set'!$R$3:$R$60,"Hit")</f>
        <v>7</v>
      </c>
      <c r="D43" s="7" t="n">
        <f aca="false">COUNTIFS('Gold set'!$B$3:$B$60,A43,'Gold set'!$R$3:$R$60,"Miss")</f>
        <v>0</v>
      </c>
      <c r="E43" s="7" t="n">
        <f aca="false">COUNTIFS('Gold set'!$B$3:$B$60,A43,'Gold set'!$R$3:$R$60,"Not indexed")</f>
        <v>1</v>
      </c>
    </row>
    <row r="44" customFormat="false" ht="15" hidden="false" customHeight="false" outlineLevel="0" collapsed="false">
      <c r="A44" s="12" t="s">
        <v>151</v>
      </c>
      <c r="B44" s="13" t="n">
        <f aca="false">SUM(B40:B43)</f>
        <v>26</v>
      </c>
      <c r="C44" s="13" t="n">
        <f aca="false">SUM(C40:C43)</f>
        <v>20</v>
      </c>
      <c r="D44" s="13" t="n">
        <f aca="false">SUM(D40:D43)</f>
        <v>3</v>
      </c>
      <c r="E44" s="13" t="n">
        <f aca="false">SUM(E40:E43)</f>
        <v>3</v>
      </c>
    </row>
  </sheetData>
  <mergeCells count="11">
    <mergeCell ref="A2:F2"/>
    <mergeCell ref="A10:F10"/>
    <mergeCell ref="A18:F18"/>
    <mergeCell ref="A26:F26"/>
    <mergeCell ref="C30:F30"/>
    <mergeCell ref="C31:F31"/>
    <mergeCell ref="C32:F32"/>
    <mergeCell ref="C33:F33"/>
    <mergeCell ref="C34:F34"/>
    <mergeCell ref="C35:F35"/>
    <mergeCell ref="C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13"/>
    <col collapsed="false" customWidth="true" hidden="false" outlineLevel="0" max="4" min="4" style="0" width="30"/>
    <col collapsed="false" customWidth="true" hidden="false" outlineLevel="0" max="5" min="5" style="0" width="60"/>
  </cols>
  <sheetData>
    <row r="1" customFormat="false" ht="16.15" hidden="false" customHeight="false" outlineLevel="0" collapsed="false">
      <c r="A1" s="1" t="s">
        <v>185</v>
      </c>
    </row>
    <row r="2" customFormat="false" ht="15" hidden="false" customHeight="false" outlineLevel="0" collapsed="false">
      <c r="A2" s="2" t="s">
        <v>2</v>
      </c>
      <c r="B2" s="2" t="s">
        <v>3</v>
      </c>
      <c r="C2" s="2" t="s">
        <v>4</v>
      </c>
      <c r="D2" s="2" t="s">
        <v>6</v>
      </c>
      <c r="E2" s="2" t="s">
        <v>186</v>
      </c>
    </row>
    <row r="3" customFormat="false" ht="23.85" hidden="false" customHeight="false" outlineLevel="0" collapsed="false">
      <c r="A3" s="4" t="s">
        <v>20</v>
      </c>
      <c r="B3" s="4" t="s">
        <v>187</v>
      </c>
      <c r="C3" s="4" t="s">
        <v>57</v>
      </c>
      <c r="D3" s="5" t="s">
        <v>188</v>
      </c>
      <c r="E3" s="4" t="s">
        <v>189</v>
      </c>
    </row>
    <row r="4" customFormat="false" ht="23.85" hidden="false" customHeight="false" outlineLevel="0" collapsed="false">
      <c r="A4" s="4" t="s">
        <v>20</v>
      </c>
      <c r="B4" s="4" t="s">
        <v>190</v>
      </c>
      <c r="C4" s="4" t="s">
        <v>57</v>
      </c>
      <c r="D4" s="5" t="s">
        <v>191</v>
      </c>
      <c r="E4" s="4" t="s">
        <v>192</v>
      </c>
    </row>
    <row r="5" customFormat="false" ht="23.85" hidden="false" customHeight="false" outlineLevel="0" collapsed="false">
      <c r="A5" s="4" t="s">
        <v>20</v>
      </c>
      <c r="B5" s="4" t="s">
        <v>193</v>
      </c>
      <c r="C5" s="4" t="s">
        <v>194</v>
      </c>
      <c r="D5" s="5" t="s">
        <v>195</v>
      </c>
      <c r="E5" s="4" t="s">
        <v>196</v>
      </c>
    </row>
    <row r="6" customFormat="false" ht="23.85" hidden="false" customHeight="false" outlineLevel="0" collapsed="false">
      <c r="A6" s="4" t="s">
        <v>20</v>
      </c>
      <c r="B6" s="4" t="s">
        <v>197</v>
      </c>
      <c r="C6" s="4" t="s">
        <v>198</v>
      </c>
      <c r="D6" s="5" t="s">
        <v>199</v>
      </c>
      <c r="E6" s="4" t="s">
        <v>200</v>
      </c>
    </row>
    <row r="7" customFormat="false" ht="23.85" hidden="false" customHeight="false" outlineLevel="0" collapsed="false">
      <c r="A7" s="4" t="s">
        <v>20</v>
      </c>
      <c r="B7" s="4" t="s">
        <v>201</v>
      </c>
      <c r="C7" s="4" t="s">
        <v>202</v>
      </c>
      <c r="D7" s="5" t="s">
        <v>203</v>
      </c>
      <c r="E7" s="4" t="s">
        <v>204</v>
      </c>
    </row>
    <row r="8" customFormat="false" ht="35.05" hidden="false" customHeight="false" outlineLevel="0" collapsed="false">
      <c r="A8" s="4" t="s">
        <v>20</v>
      </c>
      <c r="B8" s="4" t="s">
        <v>205</v>
      </c>
      <c r="C8" s="4" t="s">
        <v>206</v>
      </c>
      <c r="D8" s="5" t="s">
        <v>207</v>
      </c>
      <c r="E8" s="4" t="s">
        <v>208</v>
      </c>
    </row>
    <row r="9" customFormat="false" ht="23.85" hidden="false" customHeight="false" outlineLevel="0" collapsed="false">
      <c r="A9" s="4" t="s">
        <v>20</v>
      </c>
      <c r="B9" s="4" t="s">
        <v>209</v>
      </c>
      <c r="C9" s="4" t="s">
        <v>210</v>
      </c>
      <c r="D9" s="5" t="s">
        <v>211</v>
      </c>
      <c r="E9" s="4" t="s">
        <v>212</v>
      </c>
    </row>
    <row r="10" customFormat="false" ht="23.85" hidden="false" customHeight="false" outlineLevel="0" collapsed="false">
      <c r="A10" s="4" t="s">
        <v>55</v>
      </c>
      <c r="B10" s="4" t="s">
        <v>27</v>
      </c>
      <c r="C10" s="4" t="s">
        <v>22</v>
      </c>
      <c r="D10" s="5" t="s">
        <v>28</v>
      </c>
      <c r="E10" s="4" t="s">
        <v>213</v>
      </c>
    </row>
    <row r="11" customFormat="false" ht="23.85" hidden="false" customHeight="false" outlineLevel="0" collapsed="false">
      <c r="A11" s="4" t="s">
        <v>55</v>
      </c>
      <c r="B11" s="4" t="s">
        <v>35</v>
      </c>
      <c r="C11" s="4" t="s">
        <v>36</v>
      </c>
      <c r="D11" s="5" t="s">
        <v>37</v>
      </c>
      <c r="E11" s="4" t="s">
        <v>213</v>
      </c>
    </row>
    <row r="12" customFormat="false" ht="23.85" hidden="false" customHeight="false" outlineLevel="0" collapsed="false">
      <c r="A12" s="4" t="s">
        <v>55</v>
      </c>
      <c r="B12" s="4" t="s">
        <v>187</v>
      </c>
      <c r="C12" s="4" t="s">
        <v>57</v>
      </c>
      <c r="D12" s="5" t="s">
        <v>188</v>
      </c>
      <c r="E12" s="4" t="s">
        <v>214</v>
      </c>
    </row>
    <row r="13" customFormat="false" ht="23.85" hidden="false" customHeight="false" outlineLevel="0" collapsed="false">
      <c r="A13" s="4" t="s">
        <v>55</v>
      </c>
      <c r="B13" s="4" t="s">
        <v>215</v>
      </c>
      <c r="C13" s="4" t="s">
        <v>216</v>
      </c>
      <c r="D13" s="5" t="s">
        <v>217</v>
      </c>
      <c r="E13" s="4" t="s">
        <v>218</v>
      </c>
    </row>
    <row r="14" customFormat="false" ht="46.25" hidden="false" customHeight="false" outlineLevel="0" collapsed="false">
      <c r="A14" s="4" t="s">
        <v>55</v>
      </c>
      <c r="B14" s="4" t="s">
        <v>219</v>
      </c>
      <c r="C14" s="4" t="s">
        <v>220</v>
      </c>
      <c r="D14" s="5" t="s">
        <v>221</v>
      </c>
      <c r="E14" s="4" t="s">
        <v>222</v>
      </c>
    </row>
    <row r="15" customFormat="false" ht="23.85" hidden="false" customHeight="false" outlineLevel="0" collapsed="false">
      <c r="A15" s="4" t="s">
        <v>55</v>
      </c>
      <c r="B15" s="4" t="s">
        <v>223</v>
      </c>
      <c r="C15" s="4" t="s">
        <v>224</v>
      </c>
      <c r="D15" s="5" t="s">
        <v>225</v>
      </c>
      <c r="E15" s="4" t="s">
        <v>226</v>
      </c>
    </row>
    <row r="16" customFormat="false" ht="46.25" hidden="false" customHeight="false" outlineLevel="0" collapsed="false">
      <c r="A16" s="4" t="s">
        <v>55</v>
      </c>
      <c r="B16" s="4" t="s">
        <v>227</v>
      </c>
      <c r="C16" s="4" t="s">
        <v>228</v>
      </c>
      <c r="D16" s="5" t="s">
        <v>229</v>
      </c>
      <c r="E16" s="4" t="s">
        <v>230</v>
      </c>
    </row>
    <row r="17" customFormat="false" ht="35.05" hidden="false" customHeight="false" outlineLevel="0" collapsed="false">
      <c r="A17" s="4" t="s">
        <v>55</v>
      </c>
      <c r="B17" s="4" t="s">
        <v>231</v>
      </c>
      <c r="C17" s="4" t="s">
        <v>101</v>
      </c>
      <c r="D17" s="5" t="s">
        <v>232</v>
      </c>
      <c r="E17" s="4" t="s">
        <v>233</v>
      </c>
    </row>
    <row r="18" customFormat="false" ht="23.85" hidden="false" customHeight="false" outlineLevel="0" collapsed="false">
      <c r="A18" s="4" t="s">
        <v>55</v>
      </c>
      <c r="B18" s="4" t="s">
        <v>234</v>
      </c>
      <c r="C18" s="4" t="s">
        <v>235</v>
      </c>
      <c r="D18" s="5" t="s">
        <v>236</v>
      </c>
      <c r="E18" s="4" t="s">
        <v>237</v>
      </c>
    </row>
    <row r="19" customFormat="false" ht="57.45" hidden="false" customHeight="false" outlineLevel="0" collapsed="false">
      <c r="A19" s="4" t="s">
        <v>55</v>
      </c>
      <c r="B19" s="4" t="s">
        <v>238</v>
      </c>
      <c r="C19" s="4" t="s">
        <v>239</v>
      </c>
      <c r="D19" s="5" t="s">
        <v>240</v>
      </c>
      <c r="E19" s="4" t="s">
        <v>241</v>
      </c>
    </row>
    <row r="20" customFormat="false" ht="23.85" hidden="false" customHeight="false" outlineLevel="0" collapsed="false">
      <c r="A20" s="4" t="s">
        <v>55</v>
      </c>
      <c r="B20" s="4" t="s">
        <v>242</v>
      </c>
      <c r="C20" s="4" t="s">
        <v>243</v>
      </c>
      <c r="D20" s="5" t="s">
        <v>244</v>
      </c>
      <c r="E20" s="4" t="s">
        <v>245</v>
      </c>
    </row>
    <row r="21" customFormat="false" ht="23.85" hidden="false" customHeight="false" outlineLevel="0" collapsed="false">
      <c r="A21" s="4" t="s">
        <v>55</v>
      </c>
      <c r="B21" s="4" t="s">
        <v>246</v>
      </c>
      <c r="C21" s="4" t="s">
        <v>247</v>
      </c>
      <c r="D21" s="5" t="s">
        <v>248</v>
      </c>
      <c r="E21" s="4" t="s">
        <v>249</v>
      </c>
    </row>
    <row r="22" customFormat="false" ht="23.85" hidden="false" customHeight="false" outlineLevel="0" collapsed="false">
      <c r="A22" s="4" t="s">
        <v>55</v>
      </c>
      <c r="B22" s="4" t="s">
        <v>250</v>
      </c>
      <c r="C22" s="4" t="s">
        <v>75</v>
      </c>
      <c r="D22" s="5" t="s">
        <v>251</v>
      </c>
      <c r="E22" s="4" t="s">
        <v>252</v>
      </c>
    </row>
    <row r="23" customFormat="false" ht="23.85" hidden="false" customHeight="false" outlineLevel="0" collapsed="false">
      <c r="A23" s="4" t="s">
        <v>55</v>
      </c>
      <c r="B23" s="4" t="s">
        <v>253</v>
      </c>
      <c r="C23" s="4" t="s">
        <v>41</v>
      </c>
      <c r="D23" s="5" t="s">
        <v>254</v>
      </c>
      <c r="E23" s="4" t="s">
        <v>255</v>
      </c>
    </row>
    <row r="24" customFormat="false" ht="35.05" hidden="false" customHeight="false" outlineLevel="0" collapsed="false">
      <c r="A24" s="4" t="s">
        <v>55</v>
      </c>
      <c r="B24" s="4" t="s">
        <v>256</v>
      </c>
      <c r="C24" s="4" t="s">
        <v>257</v>
      </c>
      <c r="D24" s="5" t="s">
        <v>258</v>
      </c>
      <c r="E24" s="4" t="s">
        <v>259</v>
      </c>
    </row>
    <row r="25" customFormat="false" ht="23.85" hidden="false" customHeight="false" outlineLevel="0" collapsed="false">
      <c r="A25" s="4" t="s">
        <v>73</v>
      </c>
      <c r="B25" s="4" t="s">
        <v>260</v>
      </c>
      <c r="C25" s="4" t="s">
        <v>261</v>
      </c>
      <c r="D25" s="5" t="s">
        <v>262</v>
      </c>
      <c r="E25" s="4" t="s">
        <v>263</v>
      </c>
    </row>
    <row r="26" customFormat="false" ht="35.05" hidden="false" customHeight="false" outlineLevel="0" collapsed="false">
      <c r="A26" s="4" t="s">
        <v>73</v>
      </c>
      <c r="B26" s="4" t="s">
        <v>264</v>
      </c>
      <c r="C26" s="4" t="s">
        <v>265</v>
      </c>
      <c r="D26" s="5" t="s">
        <v>266</v>
      </c>
      <c r="E26" s="4" t="s">
        <v>267</v>
      </c>
    </row>
    <row r="27" customFormat="false" ht="23.85" hidden="false" customHeight="false" outlineLevel="0" collapsed="false">
      <c r="A27" s="4" t="s">
        <v>73</v>
      </c>
      <c r="B27" s="4" t="s">
        <v>268</v>
      </c>
      <c r="C27" s="4" t="s">
        <v>31</v>
      </c>
      <c r="D27" s="5" t="s">
        <v>269</v>
      </c>
      <c r="E27" s="4" t="s">
        <v>270</v>
      </c>
    </row>
    <row r="28" customFormat="false" ht="23.85" hidden="false" customHeight="false" outlineLevel="0" collapsed="false">
      <c r="A28" s="4" t="s">
        <v>73</v>
      </c>
      <c r="B28" s="4" t="s">
        <v>271</v>
      </c>
      <c r="C28" s="4" t="s">
        <v>22</v>
      </c>
      <c r="D28" s="5" t="s">
        <v>272</v>
      </c>
      <c r="E28" s="4" t="s">
        <v>273</v>
      </c>
    </row>
    <row r="29" customFormat="false" ht="23.85" hidden="false" customHeight="false" outlineLevel="0" collapsed="false">
      <c r="A29" s="4" t="s">
        <v>73</v>
      </c>
      <c r="B29" s="4" t="s">
        <v>274</v>
      </c>
      <c r="C29" s="4" t="s">
        <v>31</v>
      </c>
      <c r="D29" s="5" t="s">
        <v>275</v>
      </c>
      <c r="E29" s="4" t="s">
        <v>276</v>
      </c>
    </row>
    <row r="30" customFormat="false" ht="23.85" hidden="false" customHeight="false" outlineLevel="0" collapsed="false">
      <c r="A30" s="4" t="s">
        <v>73</v>
      </c>
      <c r="B30" s="4" t="s">
        <v>277</v>
      </c>
      <c r="C30" s="4" t="s">
        <v>278</v>
      </c>
      <c r="D30" s="5" t="s">
        <v>279</v>
      </c>
      <c r="E30" s="4" t="s">
        <v>280</v>
      </c>
    </row>
    <row r="31" customFormat="false" ht="23.85" hidden="false" customHeight="false" outlineLevel="0" collapsed="false">
      <c r="A31" s="4" t="s">
        <v>73</v>
      </c>
      <c r="B31" s="4" t="s">
        <v>281</v>
      </c>
      <c r="C31" s="4" t="s">
        <v>57</v>
      </c>
      <c r="D31" s="5" t="s">
        <v>128</v>
      </c>
      <c r="E31" s="4" t="s">
        <v>282</v>
      </c>
    </row>
    <row r="32" customFormat="false" ht="23.85" hidden="false" customHeight="false" outlineLevel="0" collapsed="false">
      <c r="A32" s="4" t="s">
        <v>73</v>
      </c>
      <c r="B32" s="4" t="s">
        <v>201</v>
      </c>
      <c r="C32" s="4" t="s">
        <v>202</v>
      </c>
      <c r="D32" s="5" t="s">
        <v>203</v>
      </c>
      <c r="E32" s="4" t="s">
        <v>283</v>
      </c>
    </row>
    <row r="33" customFormat="false" ht="35.05" hidden="false" customHeight="false" outlineLevel="0" collapsed="false">
      <c r="A33" s="4" t="s">
        <v>73</v>
      </c>
      <c r="B33" s="4" t="s">
        <v>284</v>
      </c>
      <c r="C33" s="4" t="s">
        <v>75</v>
      </c>
      <c r="D33" s="5" t="s">
        <v>285</v>
      </c>
      <c r="E33" s="4" t="s">
        <v>286</v>
      </c>
    </row>
    <row r="34" customFormat="false" ht="35.05" hidden="false" customHeight="false" outlineLevel="0" collapsed="false">
      <c r="A34" s="4" t="s">
        <v>73</v>
      </c>
      <c r="B34" s="4" t="s">
        <v>287</v>
      </c>
      <c r="C34" s="4" t="s">
        <v>288</v>
      </c>
      <c r="D34" s="5" t="s">
        <v>289</v>
      </c>
      <c r="E34" s="4" t="s">
        <v>290</v>
      </c>
    </row>
    <row r="35" customFormat="false" ht="23.85" hidden="false" customHeight="false" outlineLevel="0" collapsed="false">
      <c r="A35" s="4" t="s">
        <v>73</v>
      </c>
      <c r="B35" s="4" t="s">
        <v>291</v>
      </c>
      <c r="C35" s="4" t="s">
        <v>292</v>
      </c>
      <c r="D35" s="5" t="s">
        <v>293</v>
      </c>
      <c r="E35" s="4" t="s">
        <v>294</v>
      </c>
    </row>
    <row r="36" customFormat="false" ht="35.05" hidden="false" customHeight="false" outlineLevel="0" collapsed="false">
      <c r="A36" s="4" t="s">
        <v>73</v>
      </c>
      <c r="B36" s="4" t="s">
        <v>295</v>
      </c>
      <c r="C36" s="4" t="s">
        <v>296</v>
      </c>
      <c r="D36" s="5" t="s">
        <v>297</v>
      </c>
      <c r="E36" s="4" t="s">
        <v>298</v>
      </c>
    </row>
    <row r="37" customFormat="false" ht="23.85" hidden="false" customHeight="false" outlineLevel="0" collapsed="false">
      <c r="A37" s="4" t="s">
        <v>106</v>
      </c>
      <c r="B37" s="4" t="s">
        <v>299</v>
      </c>
      <c r="C37" s="4" t="s">
        <v>57</v>
      </c>
      <c r="D37" s="5" t="s">
        <v>128</v>
      </c>
      <c r="E37" s="4" t="s">
        <v>300</v>
      </c>
    </row>
    <row r="38" customFormat="false" ht="23.85" hidden="false" customHeight="false" outlineLevel="0" collapsed="false">
      <c r="A38" s="4" t="s">
        <v>106</v>
      </c>
      <c r="B38" s="4" t="s">
        <v>301</v>
      </c>
      <c r="C38" s="4" t="s">
        <v>302</v>
      </c>
      <c r="D38" s="5" t="s">
        <v>303</v>
      </c>
      <c r="E38" s="4" t="s">
        <v>304</v>
      </c>
    </row>
    <row r="39" customFormat="false" ht="23.85" hidden="false" customHeight="false" outlineLevel="0" collapsed="false">
      <c r="A39" s="4" t="s">
        <v>106</v>
      </c>
      <c r="B39" s="4" t="s">
        <v>305</v>
      </c>
      <c r="C39" s="4" t="s">
        <v>134</v>
      </c>
      <c r="D39" s="5" t="s">
        <v>306</v>
      </c>
      <c r="E39" s="4" t="s">
        <v>307</v>
      </c>
    </row>
    <row r="40" customFormat="false" ht="23.85" hidden="false" customHeight="false" outlineLevel="0" collapsed="false">
      <c r="A40" s="4" t="s">
        <v>106</v>
      </c>
      <c r="B40" s="4" t="s">
        <v>308</v>
      </c>
      <c r="C40" s="4" t="s">
        <v>75</v>
      </c>
      <c r="D40" s="5" t="s">
        <v>309</v>
      </c>
      <c r="E40" s="4" t="s">
        <v>310</v>
      </c>
    </row>
    <row r="41" customFormat="false" ht="35.05" hidden="false" customHeight="false" outlineLevel="0" collapsed="false">
      <c r="A41" s="4" t="s">
        <v>106</v>
      </c>
      <c r="B41" s="4" t="s">
        <v>311</v>
      </c>
      <c r="C41" s="4" t="s">
        <v>312</v>
      </c>
      <c r="D41" s="5" t="s">
        <v>313</v>
      </c>
      <c r="E41" s="4" t="s">
        <v>280</v>
      </c>
    </row>
    <row r="42" customFormat="false" ht="23.85" hidden="false" customHeight="false" outlineLevel="0" collapsed="false">
      <c r="A42" s="4" t="s">
        <v>106</v>
      </c>
      <c r="B42" s="4" t="s">
        <v>314</v>
      </c>
      <c r="C42" s="4" t="s">
        <v>315</v>
      </c>
      <c r="D42" s="5" t="s">
        <v>316</v>
      </c>
      <c r="E42" s="4" t="s">
        <v>317</v>
      </c>
    </row>
    <row r="43" customFormat="false" ht="23.85" hidden="false" customHeight="false" outlineLevel="0" collapsed="false">
      <c r="A43" s="4" t="s">
        <v>106</v>
      </c>
      <c r="B43" s="4" t="s">
        <v>318</v>
      </c>
      <c r="C43" s="4" t="s">
        <v>319</v>
      </c>
      <c r="D43" s="5" t="s">
        <v>320</v>
      </c>
      <c r="E43" s="4" t="s">
        <v>321</v>
      </c>
    </row>
    <row r="44" customFormat="false" ht="35.05" hidden="false" customHeight="false" outlineLevel="0" collapsed="false">
      <c r="A44" s="4" t="s">
        <v>106</v>
      </c>
      <c r="B44" s="4" t="s">
        <v>322</v>
      </c>
      <c r="C44" s="4" t="s">
        <v>323</v>
      </c>
      <c r="D44" s="5" t="s">
        <v>324</v>
      </c>
      <c r="E44" s="4" t="s">
        <v>325</v>
      </c>
    </row>
    <row r="45" customFormat="false" ht="35.05" hidden="false" customHeight="false" outlineLevel="0" collapsed="false">
      <c r="A45" s="4" t="s">
        <v>106</v>
      </c>
      <c r="B45" s="4" t="s">
        <v>326</v>
      </c>
      <c r="C45" s="4" t="s">
        <v>327</v>
      </c>
      <c r="D45" s="5" t="s">
        <v>328</v>
      </c>
      <c r="E45" s="4" t="s">
        <v>329</v>
      </c>
    </row>
    <row r="46" customFormat="false" ht="23.85" hidden="false" customHeight="false" outlineLevel="0" collapsed="false">
      <c r="A46" s="4" t="s">
        <v>106</v>
      </c>
      <c r="B46" s="4" t="s">
        <v>330</v>
      </c>
      <c r="C46" s="4" t="s">
        <v>331</v>
      </c>
      <c r="D46" s="5" t="s">
        <v>332</v>
      </c>
      <c r="E46" s="4" t="s">
        <v>333</v>
      </c>
    </row>
    <row r="47" customFormat="false" ht="35.05" hidden="false" customHeight="false" outlineLevel="0" collapsed="false">
      <c r="A47" s="4" t="s">
        <v>106</v>
      </c>
      <c r="B47" s="4" t="s">
        <v>334</v>
      </c>
      <c r="C47" s="4" t="s">
        <v>335</v>
      </c>
      <c r="D47" s="5" t="s">
        <v>336</v>
      </c>
      <c r="E47" s="4" t="s">
        <v>337</v>
      </c>
    </row>
    <row r="48" customFormat="false" ht="23.85" hidden="false" customHeight="false" outlineLevel="0" collapsed="false">
      <c r="A48" s="4" t="s">
        <v>106</v>
      </c>
      <c r="B48" s="4" t="s">
        <v>338</v>
      </c>
      <c r="C48" s="4" t="s">
        <v>339</v>
      </c>
      <c r="D48" s="5" t="s">
        <v>340</v>
      </c>
      <c r="E48" s="4" t="s">
        <v>341</v>
      </c>
    </row>
    <row r="49" customFormat="false" ht="23.85" hidden="false" customHeight="false" outlineLevel="0" collapsed="false">
      <c r="A49" s="4" t="s">
        <v>106</v>
      </c>
      <c r="B49" s="4" t="s">
        <v>342</v>
      </c>
      <c r="C49" s="4" t="s">
        <v>296</v>
      </c>
      <c r="D49" s="5" t="s">
        <v>343</v>
      </c>
      <c r="E49" s="4" t="s">
        <v>344</v>
      </c>
    </row>
    <row r="50" customFormat="false" ht="35.05" hidden="false" customHeight="false" outlineLevel="0" collapsed="false">
      <c r="A50" s="4" t="s">
        <v>106</v>
      </c>
      <c r="B50" s="4" t="s">
        <v>345</v>
      </c>
      <c r="C50" s="4" t="s">
        <v>346</v>
      </c>
      <c r="D50" s="5" t="s">
        <v>347</v>
      </c>
      <c r="E50" s="4" t="s">
        <v>348</v>
      </c>
    </row>
    <row r="51" customFormat="false" ht="23.85" hidden="false" customHeight="false" outlineLevel="0" collapsed="false">
      <c r="A51" s="4" t="s">
        <v>106</v>
      </c>
      <c r="B51" s="4" t="s">
        <v>349</v>
      </c>
      <c r="C51" s="4" t="s">
        <v>36</v>
      </c>
      <c r="D51" s="5" t="s">
        <v>350</v>
      </c>
      <c r="E51" s="4" t="s">
        <v>351</v>
      </c>
    </row>
    <row r="52" customFormat="false" ht="23.85" hidden="false" customHeight="false" outlineLevel="0" collapsed="false">
      <c r="A52" s="4" t="s">
        <v>106</v>
      </c>
      <c r="B52" s="4" t="s">
        <v>352</v>
      </c>
      <c r="C52" s="4" t="s">
        <v>353</v>
      </c>
      <c r="D52" s="5"/>
      <c r="E52" s="4" t="s">
        <v>354</v>
      </c>
    </row>
    <row r="53" customFormat="false" ht="23.85" hidden="false" customHeight="false" outlineLevel="0" collapsed="false">
      <c r="A53" s="4" t="s">
        <v>106</v>
      </c>
      <c r="B53" s="4" t="s">
        <v>30</v>
      </c>
      <c r="C53" s="4" t="s">
        <v>31</v>
      </c>
      <c r="D53" s="5" t="s">
        <v>355</v>
      </c>
      <c r="E53" s="4" t="s">
        <v>213</v>
      </c>
    </row>
    <row r="54" customFormat="false" ht="23.85" hidden="false" customHeight="false" outlineLevel="0" collapsed="false">
      <c r="A54" s="4" t="s">
        <v>106</v>
      </c>
      <c r="B54" s="4" t="s">
        <v>356</v>
      </c>
      <c r="C54" s="4" t="s">
        <v>357</v>
      </c>
      <c r="D54" s="5" t="s">
        <v>358</v>
      </c>
      <c r="E54" s="4" t="s">
        <v>359</v>
      </c>
    </row>
    <row r="55" customFormat="false" ht="23.85" hidden="false" customHeight="false" outlineLevel="0" collapsed="false">
      <c r="A55" s="4" t="s">
        <v>106</v>
      </c>
      <c r="B55" s="4" t="s">
        <v>360</v>
      </c>
      <c r="C55" s="4" t="s">
        <v>216</v>
      </c>
      <c r="D55" s="5" t="s">
        <v>361</v>
      </c>
      <c r="E55" s="4" t="s">
        <v>362</v>
      </c>
    </row>
    <row r="56" customFormat="false" ht="23.85" hidden="false" customHeight="false" outlineLevel="0" collapsed="false">
      <c r="A56" s="4" t="s">
        <v>106</v>
      </c>
      <c r="B56" s="4" t="s">
        <v>363</v>
      </c>
      <c r="C56" s="4" t="s">
        <v>364</v>
      </c>
      <c r="D56" s="5" t="s">
        <v>365</v>
      </c>
      <c r="E56" s="4" t="s">
        <v>366</v>
      </c>
    </row>
    <row r="57" customFormat="false" ht="23.85" hidden="false" customHeight="false" outlineLevel="0" collapsed="false">
      <c r="A57" s="4" t="s">
        <v>106</v>
      </c>
      <c r="B57" s="4" t="s">
        <v>367</v>
      </c>
      <c r="C57" s="4" t="s">
        <v>368</v>
      </c>
      <c r="D57" s="5" t="s">
        <v>369</v>
      </c>
      <c r="E57" s="4" t="s">
        <v>370</v>
      </c>
    </row>
    <row r="58" customFormat="false" ht="15" hidden="false" customHeight="false" outlineLevel="0" collapsed="false">
      <c r="A58" s="4" t="s">
        <v>106</v>
      </c>
      <c r="B58" s="4" t="s">
        <v>371</v>
      </c>
      <c r="C58" s="4" t="s">
        <v>31</v>
      </c>
      <c r="D58" s="5" t="s">
        <v>372</v>
      </c>
      <c r="E58" s="4" t="s">
        <v>373</v>
      </c>
    </row>
    <row r="59" customFormat="false" ht="23.85" hidden="false" customHeight="false" outlineLevel="0" collapsed="false">
      <c r="A59" s="4" t="s">
        <v>106</v>
      </c>
      <c r="B59" s="4" t="s">
        <v>374</v>
      </c>
      <c r="C59" s="4" t="s">
        <v>375</v>
      </c>
      <c r="D59" s="5" t="s">
        <v>376</v>
      </c>
      <c r="E59" s="4" t="s">
        <v>377</v>
      </c>
    </row>
  </sheetData>
  <hyperlinks>
    <hyperlink ref="D3" r:id="rId1" display="https://proceedings.iclr.cc/paper_files/paper/2026/hash/7fc516909e0b90c96bcc75a16ebee6a2-Abstract-Conference.html"/>
    <hyperlink ref="D4" r:id="rId2" display="https://proceedings.iclr.cc/paper_files/paper/2026/hash/0cece806cd3d1dfad4a893f016ad3d7d-Abstract-Conference.html"/>
    <hyperlink ref="D5" r:id="rId3" display="https://www.llanome.com/about/data/Morpheus_Final_Report.pdf"/>
    <hyperlink ref="D6" r:id="rId4" display="https://www.megrez.plus/reports/files/VLA%20and%20World%20Models.pdf"/>
    <hyperlink ref="D7" r:id="rId5" display="https://dl.acm.org/doi/full/10.1145/3783862.3783876"/>
    <hyperlink ref="D8" r:id="rId6" display="https://repository.gatech.edu/entities/publication/1323d919-d84a-4cd8-8990-f201ce324aef"/>
    <hyperlink ref="D9" r:id="rId7" display="https://doi.org/10.1145/3785325"/>
    <hyperlink ref="D10" r:id="rId8" display="https://proceedings.iclr.cc/paper_files/paper/2025/hash/da2411768acb844b255bb6770e5a71c7-Abstract-Conference.html"/>
    <hyperlink ref="D11" r:id="rId9" display="https://ojs.aaai.org/index.php/AAAI/article/view/42465"/>
    <hyperlink ref="D12" r:id="rId10" display="https://proceedings.iclr.cc/paper_files/paper/2026/hash/7fc516909e0b90c96bcc75a16ebee6a2-Abstract-Conference.html"/>
    <hyperlink ref="D13" r:id="rId11" display="https://iclr.cc/virtual/2024/oral/19722"/>
    <hyperlink ref="D14" r:id="rId12" display="https://aclanthology.org/2024.splurobonlp-1.1/"/>
    <hyperlink ref="D15" r:id="rId13" display="https://papers.ssrn.com/sol3/papers.cfm?abstract_id=7431278"/>
    <hyperlink ref="D16" r:id="rId14" display="https://doi.org/10.3233/FAIA240196"/>
    <hyperlink ref="D17" r:id="rId15" display="https://proceedings.neurips.cc/paper_files/paper/2023/hash/dd03f856fc7f2efeec8b1c796284561d-Abstract-Conference.html"/>
    <hyperlink ref="D18" r:id="rId16" display="https://cspaper.org/openprint/20260726.0001v1.pdf"/>
    <hyperlink ref="D19" r:id="rId17" display="https://cse-t.org/index.php/home/article/view/168"/>
    <hyperlink ref="D20" r:id="rId18" display="https://aiamls.org/index.php/homepage/article/view/147"/>
    <hyperlink ref="D21" r:id="rId19" display="https://www.techrxiv.org/doi/full/10.36227/techrxiv.176531987.77979037/v1"/>
    <hyperlink ref="D22" r:id="rId20" display="https://proceedings.neurips.cc/paper_files/paper/2025/hash/5c1ff00b27ba052039bb41531236baac-Abstract-Conference.html"/>
    <hyperlink ref="D23" r:id="rId21" display="https://openaccess.thecvf.com/content/CVPR2026/html/Yang_GenieDrive_Towards_Physics-Aware_Driving_World_Model_with_4D_Occupancy_Guided_CVPR_2026_paper.html"/>
    <hyperlink ref="D24" r:id="rId22" display="https://openreview.net/forum?id=VwDLQM2K4Z"/>
    <hyperlink ref="D25" r:id="rId23" display="https://openreview.net/forum?id=uDmxJ6133n"/>
    <hyperlink ref="D26" r:id="rId24" display="https://proceedings.neurips.cc/paper_files/paper/2018"/>
    <hyperlink ref="D27" r:id="rId25" display="https://doi.org/10.52202/079017-0846"/>
    <hyperlink ref="D28" r:id="rId26" display="https://proceedings.iclr.cc/paper_files/paper/2025/hash/a00548031e4647b13042c97c922fadf1-Abstract-Conference.html"/>
    <hyperlink ref="D29" r:id="rId27" display="https://doi.org/10.52202/079017-1212"/>
    <hyperlink ref="D30" r:id="rId28" display="https://doi.org/10.1145/3746449"/>
    <hyperlink ref="D31" r:id="rId29" display="https://proceedings.iclr.cc/paper_files/paper/2026"/>
    <hyperlink ref="D32" r:id="rId30" display="https://dl.acm.org/doi/full/10.1145/3783862.3783876"/>
    <hyperlink ref="D33" r:id="rId31" display="https://doi.org/10.52202/085713-2192"/>
    <hyperlink ref="D34" r:id="rId32" display="https://openreview.net/forum?id=NWU6AaJv48"/>
    <hyperlink ref="D35" r:id="rId33" display="https://proceedings.mlr.press/v139/zhang21x.html"/>
    <hyperlink ref="D36" r:id="rId34" display="https://proceedings.mlr.press/v119/kim20e.html"/>
    <hyperlink ref="D37" r:id="rId35" display="https://proceedings.iclr.cc/paper_files/paper/2026"/>
    <hyperlink ref="D38" r:id="rId36" display="https://proceedings.mlr.press/v232/kessler23a.html"/>
    <hyperlink ref="D39" r:id="rId37" display="https://doi.org/10.1038/s41598-024-76719-w"/>
    <hyperlink ref="D40" r:id="rId38" display="https://proceedings.neurips.cc/paper_files/paper/2025/vol38-main-conference"/>
    <hyperlink ref="D41" r:id="rId39" display="https://doi.org/10.1007/s11432-022-3696-5"/>
    <hyperlink ref="D42" r:id="rId40" display="https://doi.org/10.1007/978-3-032-08327-2_7"/>
    <hyperlink ref="D43" r:id="rId41" display="https://proceedings.mlr.press/v205/"/>
    <hyperlink ref="D44" r:id="rId42" display="https://d-nb.info/134898256X/34"/>
    <hyperlink ref="D45" r:id="rId43" display="https://doi.org/10.1016/j.knosys.2025.114534"/>
    <hyperlink ref="D46" r:id="rId44" display="https://doi.org/10.1016/j.neunet.2022.03.037"/>
    <hyperlink ref="D47" r:id="rId45" display="https://doi.org/10.1007/s10462-025-11166-1"/>
    <hyperlink ref="D48" r:id="rId46" display="https://proceedings.mlr.press/v202/"/>
    <hyperlink ref="D49" r:id="rId47" display="https://proceedings.mlr.press/v119/"/>
    <hyperlink ref="D50" r:id="rId48" display="https://openreview.net/forum?id=q5s1aRmRQm"/>
    <hyperlink ref="D51" r:id="rId49" display="https://doi.org/10.1609/aaai.v40i29.39642"/>
    <hyperlink ref="D53" r:id="rId50" display="https://doi.org/10.52202/079017-1873"/>
    <hyperlink ref="D54" r:id="rId51" display="https://doi.org/10.1073/pnas.2513319122"/>
    <hyperlink ref="D55" r:id="rId52" display="https://iclr.cc/virtual/2024/poster/19589"/>
    <hyperlink ref="D56" r:id="rId53" display="https://openreview.net/forum?id=Q2hkp8WIDS"/>
    <hyperlink ref="D57" r:id="rId54" display="https://doi.org/10.1609/aaai.v35i5.16569"/>
    <hyperlink ref="D58" r:id="rId55" display="https://proceedings.neurips.cc/paper_files/paper/2024"/>
    <hyperlink ref="D59" r:id="rId56" display="https://proceedings.mlr.press/v162/deng22a.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50"/>
    <col collapsed="false" customWidth="true" hidden="false" outlineLevel="0" max="6" min="4" style="0" width="12"/>
    <col collapsed="false" customWidth="true" hidden="false" outlineLevel="0" max="7" min="7" style="0" width="18"/>
  </cols>
  <sheetData>
    <row r="1" customFormat="false" ht="16.15" hidden="false" customHeight="false" outlineLevel="0" collapsed="false">
      <c r="A1" s="1" t="s">
        <v>378</v>
      </c>
    </row>
    <row r="2" customFormat="false" ht="15" hidden="false" customHeight="false" outlineLevel="0" collapsed="false">
      <c r="A2" s="2" t="s">
        <v>379</v>
      </c>
      <c r="B2" s="2" t="s">
        <v>380</v>
      </c>
      <c r="C2" s="2" t="s">
        <v>381</v>
      </c>
      <c r="D2" s="2" t="s">
        <v>382</v>
      </c>
      <c r="E2" s="2" t="s">
        <v>383</v>
      </c>
      <c r="F2" s="2" t="s">
        <v>384</v>
      </c>
      <c r="G2" s="2" t="s">
        <v>385</v>
      </c>
    </row>
    <row r="3" customFormat="false" ht="15" hidden="false" customHeight="false" outlineLevel="0" collapsed="false">
      <c r="A3" s="4" t="s">
        <v>386</v>
      </c>
      <c r="B3" s="4"/>
      <c r="C3" s="4" t="s">
        <v>387</v>
      </c>
      <c r="D3" s="19" t="n">
        <v>381</v>
      </c>
      <c r="E3" s="19" t="n">
        <v>276</v>
      </c>
      <c r="F3" s="19" t="n">
        <v>133</v>
      </c>
      <c r="G3" s="20"/>
    </row>
    <row r="4" customFormat="false" ht="46.25" hidden="false" customHeight="false" outlineLevel="0" collapsed="false">
      <c r="A4" s="4" t="s">
        <v>388</v>
      </c>
      <c r="B4" s="4"/>
      <c r="C4" s="4" t="s">
        <v>389</v>
      </c>
      <c r="D4" s="4"/>
      <c r="E4" s="4"/>
      <c r="F4" s="4"/>
      <c r="G4" s="20"/>
    </row>
    <row r="5" customFormat="false" ht="68.65" hidden="false" customHeight="false" outlineLevel="0" collapsed="false">
      <c r="A5" s="4" t="s">
        <v>390</v>
      </c>
      <c r="B5" s="4" t="s">
        <v>391</v>
      </c>
      <c r="C5" s="4" t="s">
        <v>392</v>
      </c>
      <c r="D5" s="4" t="n">
        <v>1235</v>
      </c>
      <c r="E5" s="4"/>
      <c r="F5" s="4"/>
      <c r="G5" s="20" t="n">
        <v>0.864</v>
      </c>
    </row>
    <row r="6" customFormat="false" ht="57.45" hidden="false" customHeight="false" outlineLevel="0" collapsed="false">
      <c r="A6" s="4" t="s">
        <v>393</v>
      </c>
      <c r="B6" s="4" t="s">
        <v>391</v>
      </c>
      <c r="C6" s="4" t="s">
        <v>394</v>
      </c>
      <c r="D6" s="4" t="n">
        <v>480</v>
      </c>
      <c r="E6" s="4"/>
      <c r="F6" s="4"/>
      <c r="G6" s="20" t="n">
        <v>0.864</v>
      </c>
    </row>
    <row r="7" customFormat="false" ht="57.45" hidden="false" customHeight="false" outlineLevel="0" collapsed="false">
      <c r="A7" s="4" t="s">
        <v>395</v>
      </c>
      <c r="B7" s="4" t="s">
        <v>391</v>
      </c>
      <c r="C7" s="4" t="s">
        <v>396</v>
      </c>
      <c r="D7" s="4"/>
      <c r="E7" s="4" t="n">
        <v>391</v>
      </c>
      <c r="F7" s="4"/>
      <c r="G7" s="20"/>
    </row>
    <row r="8" customFormat="false" ht="68.65" hidden="false" customHeight="false" outlineLevel="0" collapsed="false">
      <c r="A8" s="4" t="s">
        <v>397</v>
      </c>
      <c r="B8" s="4" t="s">
        <v>391</v>
      </c>
      <c r="C8" s="4" t="s">
        <v>398</v>
      </c>
      <c r="D8" s="4"/>
      <c r="E8" s="4" t="n">
        <v>273</v>
      </c>
      <c r="F8" s="4"/>
      <c r="G8" s="20" t="n">
        <v>1</v>
      </c>
    </row>
    <row r="9" customFormat="false" ht="35.05" hidden="false" customHeight="false" outlineLevel="0" collapsed="false">
      <c r="A9" s="21" t="s">
        <v>399</v>
      </c>
      <c r="B9" s="4" t="s">
        <v>391</v>
      </c>
      <c r="C9" s="4" t="s">
        <v>400</v>
      </c>
      <c r="D9" s="4" t="n">
        <v>481</v>
      </c>
      <c r="E9" s="4"/>
      <c r="F9" s="4"/>
      <c r="G9" s="20" t="n">
        <v>0.864</v>
      </c>
    </row>
    <row r="10" customFormat="false" ht="57.45" hidden="false" customHeight="false" outlineLevel="0" collapsed="false">
      <c r="A10" s="21" t="s">
        <v>401</v>
      </c>
      <c r="B10" s="4" t="s">
        <v>391</v>
      </c>
      <c r="C10" s="4" t="s">
        <v>402</v>
      </c>
      <c r="D10" s="4"/>
      <c r="E10" s="4" t="n">
        <v>299</v>
      </c>
      <c r="F10" s="4"/>
      <c r="G10" s="20" t="n">
        <v>1</v>
      </c>
    </row>
    <row r="11" customFormat="false" ht="46.25" hidden="false" customHeight="false" outlineLevel="0" collapsed="false">
      <c r="A11" s="21" t="s">
        <v>403</v>
      </c>
      <c r="B11" s="4" t="s">
        <v>391</v>
      </c>
      <c r="C11" s="4" t="s">
        <v>404</v>
      </c>
      <c r="D11" s="4"/>
      <c r="E11" s="4"/>
      <c r="F11" s="4" t="n">
        <v>32</v>
      </c>
      <c r="G11" s="20" t="n">
        <v>1</v>
      </c>
    </row>
    <row r="12" customFormat="false" ht="46.25" hidden="false" customHeight="false" outlineLevel="0" collapsed="false">
      <c r="A12" s="21" t="s">
        <v>405</v>
      </c>
      <c r="B12" s="4" t="s">
        <v>391</v>
      </c>
      <c r="C12" s="4" t="s">
        <v>406</v>
      </c>
      <c r="D12" s="4" t="n">
        <v>481</v>
      </c>
      <c r="E12" s="4" t="n">
        <v>273</v>
      </c>
      <c r="F12" s="4" t="n">
        <v>32</v>
      </c>
      <c r="G12" s="20" t="n">
        <v>0.869565217391304</v>
      </c>
    </row>
    <row r="13" customFormat="false" ht="91" hidden="false" customHeight="false" outlineLevel="0" collapsed="false">
      <c r="A13" s="21" t="s">
        <v>407</v>
      </c>
      <c r="B13" s="4" t="s">
        <v>408</v>
      </c>
      <c r="C13" s="4" t="s">
        <v>409</v>
      </c>
      <c r="D13" s="4" t="s">
        <v>410</v>
      </c>
      <c r="E13" s="4" t="s">
        <v>411</v>
      </c>
      <c r="F13" s="4" t="s">
        <v>412</v>
      </c>
      <c r="G13" s="20" t="n">
        <v>0.869565217391304</v>
      </c>
    </row>
    <row r="14" customFormat="false" ht="35.05" hidden="false" customHeight="false" outlineLevel="0" collapsed="false">
      <c r="A14" s="22" t="s">
        <v>413</v>
      </c>
      <c r="B14" s="23" t="s">
        <v>408</v>
      </c>
      <c r="C14" s="23" t="s">
        <v>414</v>
      </c>
      <c r="D14" s="23" t="n">
        <v>491</v>
      </c>
      <c r="E14" s="23"/>
      <c r="F14" s="23"/>
      <c r="G14" s="24" t="n">
        <v>0.863636363636364</v>
      </c>
    </row>
    <row r="15" customFormat="false" ht="46.25" hidden="false" customHeight="false" outlineLevel="0" collapsed="false">
      <c r="A15" s="22" t="s">
        <v>415</v>
      </c>
      <c r="B15" s="23" t="s">
        <v>408</v>
      </c>
      <c r="C15" s="23" t="s">
        <v>416</v>
      </c>
      <c r="D15" s="23"/>
      <c r="E15" s="23" t="n">
        <v>307</v>
      </c>
      <c r="F15" s="23"/>
      <c r="G15" s="24" t="n">
        <v>1</v>
      </c>
    </row>
    <row r="16" customFormat="false" ht="35.05" hidden="false" customHeight="false" outlineLevel="0" collapsed="false">
      <c r="A16" s="22" t="s">
        <v>417</v>
      </c>
      <c r="B16" s="23" t="s">
        <v>408</v>
      </c>
      <c r="C16" s="23" t="s">
        <v>418</v>
      </c>
      <c r="D16" s="23"/>
      <c r="E16" s="23"/>
      <c r="F16" s="23" t="n">
        <v>35</v>
      </c>
      <c r="G16" s="24" t="n">
        <v>1</v>
      </c>
    </row>
    <row r="17" customFormat="false" ht="57.45" hidden="false" customHeight="false" outlineLevel="0" collapsed="false">
      <c r="A17" s="22" t="s">
        <v>419</v>
      </c>
      <c r="B17" s="23" t="s">
        <v>408</v>
      </c>
      <c r="C17" s="23" t="s">
        <v>420</v>
      </c>
      <c r="D17" s="23" t="n">
        <v>491</v>
      </c>
      <c r="E17" s="23" t="n">
        <v>282</v>
      </c>
      <c r="F17" s="23" t="n">
        <v>35</v>
      </c>
      <c r="G17" s="24" t="n">
        <v>0.869565217391304</v>
      </c>
    </row>
    <row r="20" customFormat="false" ht="15" hidden="false" customHeight="false" outlineLevel="0" collapsed="false">
      <c r="A20" s="25" t="s">
        <v>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2026-10-16T11:32:17Z</dcterms:created>
  <dc:creator>openpyxl</dc:creator>
  <dc:description/>
  <dc:language>en-US</dc:language>
  <cp:lastModifiedBy/>
  <dcterms:modified xsi:type="dcterms:W3CDTF">2026-10-16T11:32:17Z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