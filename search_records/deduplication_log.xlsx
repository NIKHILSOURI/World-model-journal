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records" sheetId="2" state="visible" r:id="rId4"/>
  </sheets>
  <definedNames>
    <definedName function="false" hidden="true" localSheetId="1" name="_xlnm._FilterDatabase" vbProcedure="false">'All records'!$A$1:$L$834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<sst xmlns="http://schemas.openxmlformats.org/spreadsheetml/2006/main" count="7541" uniqueCount="3433">
  <si>
    <t xml:space="preserve">Deduplication log</t>
  </si>
  <si>
    <t xml:space="preserve">Final searches run 16 October 2026, years 2018 to 2026. Every number below is counted from the All records tab, which lists all 833 records with their status.</t>
  </si>
  <si>
    <t xml:space="preserve">1. From identification to screening</t>
  </si>
  <si>
    <t xml:space="preserve">Step</t>
  </si>
  <si>
    <t xml:space="preserve">Records</t>
  </si>
  <si>
    <t xml:space="preserve">Identified: Scopus</t>
  </si>
  <si>
    <t xml:space="preserve">Identified: IEEE Xplore</t>
  </si>
  <si>
    <t xml:space="preserve">Identified: ACM DL</t>
  </si>
  <si>
    <t xml:space="preserve">Identified: total</t>
  </si>
  <si>
    <t xml:space="preserve">Removed: ineligible document type (IEEE book chapters, magazines)</t>
  </si>
  <si>
    <t xml:space="preserve">Removed: duplicates</t>
  </si>
  <si>
    <t xml:space="preserve">Records to screen</t>
  </si>
  <si>
    <t xml:space="preserve">Check: total minus removed equals records to screen</t>
  </si>
  <si>
    <t xml:space="preserve">2. How duplicates were found</t>
  </si>
  <si>
    <t xml:space="preserve">Match</t>
  </si>
  <si>
    <t xml:space="preserve">Same DOI</t>
  </si>
  <si>
    <t xml:space="preserve">Same title and year (records without a DOI)</t>
  </si>
  <si>
    <t xml:space="preserve">Total duplicates</t>
  </si>
  <si>
    <t xml:space="preserve">3. Where the records to screen came from</t>
  </si>
  <si>
    <t xml:space="preserve">Found in</t>
  </si>
  <si>
    <t xml:space="preserve">Scopus only</t>
  </si>
  <si>
    <t xml:space="preserve">IEEE Xplore only</t>
  </si>
  <si>
    <t xml:space="preserve">ACM DL only</t>
  </si>
  <si>
    <t xml:space="preserve">Scopus and IEEE Xplore</t>
  </si>
  <si>
    <t xml:space="preserve">Scopus and ACM DL</t>
  </si>
  <si>
    <t xml:space="preserve">IEEE Xplore and ACM DL</t>
  </si>
  <si>
    <t xml:space="preserve">All three</t>
  </si>
  <si>
    <t xml:space="preserve">Total</t>
  </si>
  <si>
    <t xml:space="preserve">4. Method</t>
  </si>
  <si>
    <t xml:space="preserve">IEEE book chapters and magazine items were removed first as ineligible document types (the IEEE content type filter was not applied in the search).</t>
  </si>
  <si>
    <t xml:space="preserve">Two records were treated as duplicates when they had the same DOI, or, when a DOI was missing, the same title (ignoring case, punctuation and a trailing "Extended Abstract") and a publication year at most one year apart.</t>
  </si>
  <si>
    <t xml:space="preserve">From each group of duplicates, the record kept is the one with an abstract and a DOI, preferring Scopus, then IEEE Xplore, then ACM DL. A missing DOI was filled in from another record in the group. "Found in" lists every database that returned the record.</t>
  </si>
  <si>
    <t xml:space="preserve">Not merged on purpose: S183 (NeurIPS 2020) and S292 (JMLR 2023) share the title "Model-based multi-agent RL in zero-sum Markov games with near-optimal sample complexity". They are a conference paper and its later journal version, so both stay in for screening; decide at full-text stage whether to keep one.</t>
  </si>
  <si>
    <t xml:space="preserve">Record ID</t>
  </si>
  <si>
    <t xml:space="preserve">Database</t>
  </si>
  <si>
    <t xml:space="preserve">Status</t>
  </si>
  <si>
    <t xml:space="preserve">Duplicate of</t>
  </si>
  <si>
    <t xml:space="preserve">Title</t>
  </si>
  <si>
    <t xml:space="preserve">Year</t>
  </si>
  <si>
    <t xml:space="preserve">First author</t>
  </si>
  <si>
    <t xml:space="preserve">Venue</t>
  </si>
  <si>
    <t xml:space="preserve">Type</t>
  </si>
  <si>
    <t xml:space="preserve">DOI</t>
  </si>
  <si>
    <t xml:space="preserve">S001</t>
  </si>
  <si>
    <t xml:space="preserve">Scopus</t>
  </si>
  <si>
    <t xml:space="preserve">Kept</t>
  </si>
  <si>
    <t xml:space="preserve">CostNet: An end-to-end framework for goal-directed reinforcement learning</t>
  </si>
  <si>
    <t xml:space="preserve">Andersen, P.-A.</t>
  </si>
  <si>
    <t xml:space="preserve">Lecture Notes in Computer Science (including subseries Lecture Notes in Artificial Intelligence and Lecture Notes in Bioinformatics)</t>
  </si>
  <si>
    <t xml:space="preserve">Conference paper</t>
  </si>
  <si>
    <t xml:space="preserve">10.1007/978-3-030-63799-6_7</t>
  </si>
  <si>
    <t xml:space="preserve">S002</t>
  </si>
  <si>
    <t xml:space="preserve">Scopus; IEEE Xplore</t>
  </si>
  <si>
    <t xml:space="preserve">Latent Imagination Facilitates Zero-Shot Transfer in Autonomous Racing</t>
  </si>
  <si>
    <t xml:space="preserve">Brunnbauer, A.</t>
  </si>
  <si>
    <t xml:space="preserve">Proceedings - IEEE International Conference on Robotics and Automation</t>
  </si>
  <si>
    <t xml:space="preserve">10.1109/icra46639.2022.9811650</t>
  </si>
  <si>
    <t xml:space="preserve">S003</t>
  </si>
  <si>
    <t xml:space="preserve">Off-Policy Reinforcement Learning for H∞ Control of Linear Discrete-Time Systems With Network-Induced Dropouts</t>
  </si>
  <si>
    <t xml:space="preserve">Jiang, Y.</t>
  </si>
  <si>
    <t xml:space="preserve">IEEE Transactions on Automatic Control</t>
  </si>
  <si>
    <t xml:space="preserve">Article</t>
  </si>
  <si>
    <t xml:space="preserve">10.1109/tac.2025.3582529</t>
  </si>
  <si>
    <t xml:space="preserve">S004</t>
  </si>
  <si>
    <t xml:space="preserve">Accurate and Efficient World Modeling with Masked Latent Transformer</t>
  </si>
  <si>
    <t xml:space="preserve">Burchi, M.</t>
  </si>
  <si>
    <t xml:space="preserve">Proceedings of Machine Learning Research</t>
  </si>
  <si>
    <t xml:space="preserve">S005</t>
  </si>
  <si>
    <t xml:space="preserve">Video World Models with Long-term Spatial Memory</t>
  </si>
  <si>
    <t xml:space="preserve">Wu, T.</t>
  </si>
  <si>
    <t xml:space="preserve">Advances in Neural Information Processing Systems</t>
  </si>
  <si>
    <t xml:space="preserve">S006</t>
  </si>
  <si>
    <t xml:space="preserve">PLM-based World Models for Text-based Games</t>
  </si>
  <si>
    <t xml:space="preserve">Kim, M.</t>
  </si>
  <si>
    <t xml:space="preserve">Proceedings of the 2022 Conference on Empirical Methods in Natural Language Processing, EMNLP 2022</t>
  </si>
  <si>
    <t xml:space="preserve">10.18653/v1/2022.emnlp-main.86</t>
  </si>
  <si>
    <t xml:space="preserve">S007</t>
  </si>
  <si>
    <t xml:space="preserve">Efficient World Models with Context-Aware Tokenization</t>
  </si>
  <si>
    <t xml:space="preserve">Micheli, V.</t>
  </si>
  <si>
    <t xml:space="preserve">S008</t>
  </si>
  <si>
    <t xml:space="preserve">Online 3D Bin Packing Reinforcement Learning Solution with Buffer</t>
  </si>
  <si>
    <t xml:space="preserve">Puche, A.V.</t>
  </si>
  <si>
    <t xml:space="preserve">IEEE International Conference on Intelligent Robots and Systems</t>
  </si>
  <si>
    <t xml:space="preserve">10.1109/iros47612.2022.9982095</t>
  </si>
  <si>
    <t xml:space="preserve">S009</t>
  </si>
  <si>
    <t xml:space="preserve">GTA-NarrativeTraj: Language-Aware Trajectory Prediction from GPS and Dialogue in an Open-World Simulator</t>
  </si>
  <si>
    <t xml:space="preserve">Sapeha, A.</t>
  </si>
  <si>
    <t xml:space="preserve">Proceedings of International Conference on Applied Innovation in IT</t>
  </si>
  <si>
    <t xml:space="preserve">S010</t>
  </si>
  <si>
    <t xml:space="preserve">Augmented Reality for Advanced Home Applications</t>
  </si>
  <si>
    <t xml:space="preserve">Mudgal, D.</t>
  </si>
  <si>
    <t xml:space="preserve">Proceedings - 5th International Conference on Smart Systems and Inventive Technology, ICSSIT 2023</t>
  </si>
  <si>
    <t xml:space="preserve">10.1109/icssit55814.2023.10060904</t>
  </si>
  <si>
    <t xml:space="preserve">S011</t>
  </si>
  <si>
    <t xml:space="preserve">SENSEI: Semantic Exploration Guided by Foundation Models to Learn Versatile World Models</t>
  </si>
  <si>
    <t xml:space="preserve">Sancaktar, C.</t>
  </si>
  <si>
    <t xml:space="preserve">S012</t>
  </si>
  <si>
    <t xml:space="preserve">A Skills-Based Approach to Policy Creation in Environment Evolution Learning</t>
  </si>
  <si>
    <t xml:space="preserve">Ackerman, D.M.</t>
  </si>
  <si>
    <t xml:space="preserve">IEEE Andescon, ANDESCON 2024 - Proceedings</t>
  </si>
  <si>
    <t xml:space="preserve">10.1109/andescon61840.2024.10755894</t>
  </si>
  <si>
    <t xml:space="preserve">S013</t>
  </si>
  <si>
    <t xml:space="preserve">Performance Bounds for Policy-Based Reinforcement Learning Methods in Zero-Sum Markov Games with Linear Function Approximation</t>
  </si>
  <si>
    <t xml:space="preserve">Winnicki, A.</t>
  </si>
  <si>
    <t xml:space="preserve">Proceedings of the IEEE Conference on Decision and Control</t>
  </si>
  <si>
    <t xml:space="preserve">10.1109/cdc49753.2023.10384061</t>
  </si>
  <si>
    <t xml:space="preserve">S014</t>
  </si>
  <si>
    <t xml:space="preserve">Software evolution for digital transformation</t>
  </si>
  <si>
    <t xml:space="preserve">Zimmermann, A.</t>
  </si>
  <si>
    <t xml:space="preserve">ENASE 2018 - Proceedings of the 13th International Conference on Evaluation of Novel Approaches to Software Engineering</t>
  </si>
  <si>
    <t xml:space="preserve">10.5220/0006815702050212</t>
  </si>
  <si>
    <t xml:space="preserve">S015</t>
  </si>
  <si>
    <t xml:space="preserve">Synthesizing Large-Scale Datasets for License Plate Detection and Recognition in the Wild</t>
  </si>
  <si>
    <t xml:space="preserve">Wang, C.</t>
  </si>
  <si>
    <t xml:space="preserve">10.1007/978-3-030-60636-7_36</t>
  </si>
  <si>
    <t xml:space="preserve">S016</t>
  </si>
  <si>
    <t xml:space="preserve">Sample-Efficient Learning to Solve a Real-World Labyrinth Game Using Data-Augmented Model-Based Reinforcement Learning</t>
  </si>
  <si>
    <t xml:space="preserve">Bi, T.</t>
  </si>
  <si>
    <t xml:space="preserve">10.1109/icra57147.2024.10610577</t>
  </si>
  <si>
    <t xml:space="preserve">S017</t>
  </si>
  <si>
    <t xml:space="preserve">Giving AI agents a sense of control facilitates reinforcement learning in multitasking scenarios</t>
  </si>
  <si>
    <t xml:space="preserve">Österdiekhoff, A.</t>
  </si>
  <si>
    <t xml:space="preserve">PLOS ONE</t>
  </si>
  <si>
    <t xml:space="preserve">10.1371/journal.pone.0342305</t>
  </si>
  <si>
    <t xml:space="preserve">S018</t>
  </si>
  <si>
    <t xml:space="preserve">Individualized episteme for multi-agent situations in virtual world</t>
  </si>
  <si>
    <t xml:space="preserve">Park, J.-H.</t>
  </si>
  <si>
    <t xml:space="preserve">International Journal of Engineering Research and Technology</t>
  </si>
  <si>
    <t xml:space="preserve">10.37624/ijert/13.8.2020.2090-2095</t>
  </si>
  <si>
    <t xml:space="preserve">S019</t>
  </si>
  <si>
    <t xml:space="preserve">Predictive World Models from Real-World Partial Observations</t>
  </si>
  <si>
    <t xml:space="preserve">Karlsson, R.</t>
  </si>
  <si>
    <t xml:space="preserve">Proceedings - 2023 IEEE International Conference on Mobility, Operations, Services and Technologies, MOST 2023</t>
  </si>
  <si>
    <t xml:space="preserve">10.1109/most57249.2023.00024</t>
  </si>
  <si>
    <t xml:space="preserve">S020</t>
  </si>
  <si>
    <t xml:space="preserve">Novelty Detection in Reinforcement Learning with World Models</t>
  </si>
  <si>
    <t xml:space="preserve">Zollicoffer, G.</t>
  </si>
  <si>
    <t xml:space="preserve">S021</t>
  </si>
  <si>
    <t xml:space="preserve">Compositionality and Generalization in Emergent Communication Using Metropolis-Hastings Naming Game</t>
  </si>
  <si>
    <t xml:space="preserve">Le Hoang, N.</t>
  </si>
  <si>
    <t xml:space="preserve">2024 IEEE International Conference on Development and Learning, ICDL 2024</t>
  </si>
  <si>
    <t xml:space="preserve">10.1109/icdl61372.2024.10644635</t>
  </si>
  <si>
    <t xml:space="preserve">S022</t>
  </si>
  <si>
    <t xml:space="preserve">Model-based Ensemble Reinforcement Learning with Soft Proximal Policy Optimization</t>
  </si>
  <si>
    <t xml:space="preserve">Li, D.</t>
  </si>
  <si>
    <t xml:space="preserve">Proceedings of 2021 IEEE 10th Data Driven Control and Learning Systems Conference, DDCLS 2021</t>
  </si>
  <si>
    <t xml:space="preserve">10.1109/ddcls52934.2021.9455658</t>
  </si>
  <si>
    <t xml:space="preserve">S023</t>
  </si>
  <si>
    <t xml:space="preserve">MVP-MCTS: Language Modelling a Flexible Multi-Agent Planning Framework</t>
  </si>
  <si>
    <t xml:space="preserve">Li, Z.</t>
  </si>
  <si>
    <t xml:space="preserve">2024 4th International Symposium on Artificial Intelligence and Intelligent Manufacturing, AIIM 2024</t>
  </si>
  <si>
    <t xml:space="preserve">10.1109/aiim64537.2024.10934217</t>
  </si>
  <si>
    <t xml:space="preserve">S024</t>
  </si>
  <si>
    <t xml:space="preserve">LANGUAGE-DRIVEN OPEN-VOCABULARY 3D SEMANTIC SEGMENTATION WITH KNOWLEDGE DISTILLATION</t>
  </si>
  <si>
    <t xml:space="preserve">Wu, Y.</t>
  </si>
  <si>
    <t xml:space="preserve">ICASSP, IEEE International Conference on Acoustics, Speech and Signal Processing - Proceedings</t>
  </si>
  <si>
    <t xml:space="preserve">10.1109/icassp48485.2024.10448295</t>
  </si>
  <si>
    <t xml:space="preserve">S025</t>
  </si>
  <si>
    <t xml:space="preserve">Intelligent energy management for hybrid electric vehicles based on data-driven real-time dynamic programming</t>
  </si>
  <si>
    <t xml:space="preserve">Ma, X.</t>
  </si>
  <si>
    <t xml:space="preserve">Energy</t>
  </si>
  <si>
    <t xml:space="preserve">10.1016/j.energy.2026.140973</t>
  </si>
  <si>
    <t xml:space="preserve">S026</t>
  </si>
  <si>
    <t xml:space="preserve">Mastering the Labyrinth Game: Efficient Multimodal Reinforcement Learning with Selective Reconstruction</t>
  </si>
  <si>
    <t xml:space="preserve">10.1109/iros60139.2025.11247146</t>
  </si>
  <si>
    <t xml:space="preserve">S027</t>
  </si>
  <si>
    <t xml:space="preserve">Modular Networks Prevent Catastrophic Interference in Model-Based Multi-task Reinforcement Learning</t>
  </si>
  <si>
    <t xml:space="preserve">Schiewer, R.</t>
  </si>
  <si>
    <t xml:space="preserve">10.1007/978-3-030-95470-3_23</t>
  </si>
  <si>
    <t xml:space="preserve">S028</t>
  </si>
  <si>
    <t xml:space="preserve">Scopus; ACM DL</t>
  </si>
  <si>
    <t xml:space="preserve">Sustainable, inclusive city-making through smart, playable environments: developing and testing the CO2rdinates pervasive mobile game</t>
  </si>
  <si>
    <t xml:space="preserve">Chian, Y.X.</t>
  </si>
  <si>
    <t xml:space="preserve">ACM International Conference Proceeding Series</t>
  </si>
  <si>
    <t xml:space="preserve">10.1145/3616961.3617803</t>
  </si>
  <si>
    <t xml:space="preserve">S029</t>
  </si>
  <si>
    <t xml:space="preserve">Promptable Game Models: Text-guided Game Simulation via Masked Diffusion Models</t>
  </si>
  <si>
    <t xml:space="preserve">Menapace, W.</t>
  </si>
  <si>
    <t xml:space="preserve">ACM Transactions on Graphics</t>
  </si>
  <si>
    <t xml:space="preserve">10.1145/3635705</t>
  </si>
  <si>
    <t xml:space="preserve">S030</t>
  </si>
  <si>
    <t xml:space="preserve">Model-based reinforcement learning: A survey</t>
  </si>
  <si>
    <t xml:space="preserve">Yi, F.</t>
  </si>
  <si>
    <t xml:space="preserve">Proceedings of the International Conference on Electronic Business (ICEB)</t>
  </si>
  <si>
    <t xml:space="preserve">S031</t>
  </si>
  <si>
    <t xml:space="preserve">Sports betting incentives encourage gamblers to select the long odds: An experimental investigation using monetary rewards</t>
  </si>
  <si>
    <t xml:space="preserve">Rockloff, M.J.</t>
  </si>
  <si>
    <t xml:space="preserve">Journal of Behavioral Addictions</t>
  </si>
  <si>
    <t xml:space="preserve">10.1556/2006.8.2019.30</t>
  </si>
  <si>
    <t xml:space="preserve">S032</t>
  </si>
  <si>
    <t xml:space="preserve">Foundation World Models for Agents that Learn, Verify, and Adapt Reliably Beyond Static Environments</t>
  </si>
  <si>
    <t xml:space="preserve">Delgrange, F.</t>
  </si>
  <si>
    <t xml:space="preserve">AAMAS 2026 - Proceedings of the 25th International Conference on Autonomous Agents and Multiagent Systems</t>
  </si>
  <si>
    <t xml:space="preserve">10.65109/wcei7331</t>
  </si>
  <si>
    <t xml:space="preserve">S033</t>
  </si>
  <si>
    <t xml:space="preserve">Learning Regularized Graphon Mean-Field Games with Unknown Graphons</t>
  </si>
  <si>
    <t xml:space="preserve">Zhang, F.</t>
  </si>
  <si>
    <t xml:space="preserve">Journal of Machine Learning Research</t>
  </si>
  <si>
    <t xml:space="preserve">S034</t>
  </si>
  <si>
    <t xml:space="preserve">Hypertext as a Lens into Interactive Digital Narrative</t>
  </si>
  <si>
    <t xml:space="preserve">Millard, D.E.</t>
  </si>
  <si>
    <t xml:space="preserve">10.1007/978-3-030-92300-6_51</t>
  </si>
  <si>
    <t xml:space="preserve">S035</t>
  </si>
  <si>
    <t xml:space="preserve">Combining Off and On-Policy Training in Model-Based Reinforcement Learning</t>
  </si>
  <si>
    <t xml:space="preserve">Borges, A.</t>
  </si>
  <si>
    <t xml:space="preserve">ALA 2021 - Adaptive and Learning Agents Workshop at AAMAS 2021</t>
  </si>
  <si>
    <t xml:space="preserve">S036</t>
  </si>
  <si>
    <t xml:space="preserve">Unified waste metrics: A gamified tool in next-generation strategic planning</t>
  </si>
  <si>
    <t xml:space="preserve">Papamichael, I.</t>
  </si>
  <si>
    <t xml:space="preserve">Science of the Total Environment</t>
  </si>
  <si>
    <t xml:space="preserve">10.1016/j.scitotenv.2022.154835</t>
  </si>
  <si>
    <t xml:space="preserve">S037</t>
  </si>
  <si>
    <t xml:space="preserve">A game theoretic framework for model based reinforcement learning</t>
  </si>
  <si>
    <t xml:space="preserve">Rajeswaran, A.</t>
  </si>
  <si>
    <t xml:space="preserve">37th International Conference on Machine Learning, ICML 2020</t>
  </si>
  <si>
    <t xml:space="preserve">S038</t>
  </si>
  <si>
    <t xml:space="preserve">Mind the Model, Not the Agent: The Primacy Bias in Model-Based RL</t>
  </si>
  <si>
    <t xml:space="preserve">Qiao, Z.</t>
  </si>
  <si>
    <t xml:space="preserve">Frontiers in Artificial Intelligence and Applications</t>
  </si>
  <si>
    <t xml:space="preserve">10.3233/faia240694</t>
  </si>
  <si>
    <t xml:space="preserve">S039</t>
  </si>
  <si>
    <t xml:space="preserve">Control in Stochastic Environment with Delays: A Model-based Reinforcement Learning Approach</t>
  </si>
  <si>
    <t xml:space="preserve">Yao, Z.</t>
  </si>
  <si>
    <t xml:space="preserve">Proceedings International Conference on Automated Planning and Scheduling, ICAPS</t>
  </si>
  <si>
    <t xml:space="preserve">10.1609/icaps.v34i1.31529</t>
  </si>
  <si>
    <t xml:space="preserve">S040</t>
  </si>
  <si>
    <t xml:space="preserve">Probabilistic databases with an infinite open-world assumption</t>
  </si>
  <si>
    <t xml:space="preserve">Grohe, M.</t>
  </si>
  <si>
    <t xml:space="preserve">Proceedings of the ACM SIGACT-SIGMOD-SIGART Symposium on Principles of Database Systems</t>
  </si>
  <si>
    <t xml:space="preserve">10.1145/3294052.3319681</t>
  </si>
  <si>
    <t xml:space="preserve">S041</t>
  </si>
  <si>
    <t xml:space="preserve">Large Model Empowered Metaverse: State-of-the-Art, Challenges, and Opportunities</t>
  </si>
  <si>
    <t xml:space="preserve">Wang, Y.</t>
  </si>
  <si>
    <t xml:space="preserve">IEEE Network</t>
  </si>
  <si>
    <t xml:space="preserve">10.1109/mnet.2025.3597127</t>
  </si>
  <si>
    <t xml:space="preserve">S042</t>
  </si>
  <si>
    <t xml:space="preserve">Empirically Evaluating Flaky Tests for Autonomous Driving Systems in Simulated Environments</t>
  </si>
  <si>
    <t xml:space="preserve">Osikowicz, O.</t>
  </si>
  <si>
    <t xml:space="preserve">Proceedings - 2025 IEEE/ACM International Flaky Tests Workshop, FTW 2025</t>
  </si>
  <si>
    <t xml:space="preserve">10.1109/ftw66604.2025.00009</t>
  </si>
  <si>
    <t xml:space="preserve">S043</t>
  </si>
  <si>
    <t xml:space="preserve">Physics-informed Model based Offline Meta-Reinforcement Learning for Tracking Control of AUV under Ocean Currents</t>
  </si>
  <si>
    <t xml:space="preserve">Li, X.</t>
  </si>
  <si>
    <t xml:space="preserve">Proceedings - 2025 China Automation Congress, CAC 2025</t>
  </si>
  <si>
    <t xml:space="preserve">10.1109/cac67268.2025.11487429</t>
  </si>
  <si>
    <t xml:space="preserve">S044</t>
  </si>
  <si>
    <t xml:space="preserve">Frontiers and prospects of embodied AI: evolution of data, models, and systems</t>
  </si>
  <si>
    <t xml:space="preserve">Mu, Y.</t>
  </si>
  <si>
    <t xml:space="preserve">Journal of Image and Graphics</t>
  </si>
  <si>
    <t xml:space="preserve">10.11834/jig.260059</t>
  </si>
  <si>
    <t xml:space="preserve">S045</t>
  </si>
  <si>
    <t xml:space="preserve">DEVELOPING SUSTAINABILITY COMPETENCES THROUGH A NEGOTIATION SIMULATION ROLE-PLAYING GAME</t>
  </si>
  <si>
    <t xml:space="preserve">Marttila, M.</t>
  </si>
  <si>
    <t xml:space="preserve">SEFI 2025 - 53rd Annual Conference of the European Society for Engineering Education: Engineering and Society, Proceedings</t>
  </si>
  <si>
    <t xml:space="preserve">10.5281/zenodo.17631440</t>
  </si>
  <si>
    <t xml:space="preserve">S046</t>
  </si>
  <si>
    <t xml:space="preserve">Traffic expertise meets residual RL: Knowledge-informed model-based residual reinforcement learning for CAV trajectory control</t>
  </si>
  <si>
    <t xml:space="preserve">Sheng, Z.</t>
  </si>
  <si>
    <t xml:space="preserve">Communications in Transportation Research</t>
  </si>
  <si>
    <t xml:space="preserve">10.1016/j.commtr.2024.100142</t>
  </si>
  <si>
    <t xml:space="preserve">S047</t>
  </si>
  <si>
    <t xml:space="preserve">UAV-assisted task offloading system using dung beetle optimization algorithm &amp; deep reinforcement learning</t>
  </si>
  <si>
    <t xml:space="preserve">Zhang, D.</t>
  </si>
  <si>
    <t xml:space="preserve">Ad Hoc Networks</t>
  </si>
  <si>
    <t xml:space="preserve">10.1016/j.adhoc.2024.103434</t>
  </si>
  <si>
    <t xml:space="preserve">S048</t>
  </si>
  <si>
    <t xml:space="preserve">The Human that Therefore I am: Transculturation of an Ecological Debate in Green Humour for a Greying Planet</t>
  </si>
  <si>
    <t xml:space="preserve">Khatai, S.</t>
  </si>
  <si>
    <t xml:space="preserve">NALANS: Journal of Narrative and Language Studies</t>
  </si>
  <si>
    <t xml:space="preserve">10.59045/nalans.2023.21</t>
  </si>
  <si>
    <t xml:space="preserve">S049</t>
  </si>
  <si>
    <t xml:space="preserve">SCALING OFFLINE MODEL-BASED RL VIA JOINTLY-OPTIMIZED WORLD-ACTION MODEL PRETRAINING</t>
  </si>
  <si>
    <t xml:space="preserve">Cheng, J.</t>
  </si>
  <si>
    <t xml:space="preserve">13th International Conference on Learning Representations, ICLR 2025</t>
  </si>
  <si>
    <t xml:space="preserve">S050</t>
  </si>
  <si>
    <t xml:space="preserve">Instructors’ Perceptions of the Development of Work-readiness through Simulations</t>
  </si>
  <si>
    <t xml:space="preserve">Faisal, N.</t>
  </si>
  <si>
    <t xml:space="preserve">ACIS 2022 - Australasian Conference on Information Systems, Proceedings</t>
  </si>
  <si>
    <t xml:space="preserve">S051</t>
  </si>
  <si>
    <t xml:space="preserve">Realising the potential of virtual world-based simulations in higher education: A visual perspective</t>
  </si>
  <si>
    <t xml:space="preserve">Moscato, D.R.</t>
  </si>
  <si>
    <t xml:space="preserve">International Journal of Technology, Policy and Management</t>
  </si>
  <si>
    <t xml:space="preserve">10.1504/ijtpm.2019.100606</t>
  </si>
  <si>
    <t xml:space="preserve">S052</t>
  </si>
  <si>
    <t xml:space="preserve">ORACLE: End-to-End Model Based Reinforcement Learning</t>
  </si>
  <si>
    <t xml:space="preserve">10.1007/978-3-030-91100-3_4</t>
  </si>
  <si>
    <t xml:space="preserve">S053</t>
  </si>
  <si>
    <t xml:space="preserve">An integrated space ground cooperative monitoring system for carbon neutral energy hub coordination using multi sensor fusion and edge artificial intelligence</t>
  </si>
  <si>
    <t xml:space="preserve">Tian, Y.</t>
  </si>
  <si>
    <t xml:space="preserve">Journal of Engineering Research (Kuwait)</t>
  </si>
  <si>
    <t xml:space="preserve">10.1016/j.jer.2026.08.008</t>
  </si>
  <si>
    <t xml:space="preserve">S054</t>
  </si>
  <si>
    <t xml:space="preserve">Learning to Model the World With Language</t>
  </si>
  <si>
    <t xml:space="preserve">Lin, J.</t>
  </si>
  <si>
    <t xml:space="preserve">S055</t>
  </si>
  <si>
    <t xml:space="preserve">MA2MB: Multi-agent mutual-advising model-based reinforcement learning for pursuit and evasion games</t>
  </si>
  <si>
    <t xml:space="preserve">Zhao, B.</t>
  </si>
  <si>
    <t xml:space="preserve">Robotics and Autonomous Systems</t>
  </si>
  <si>
    <t xml:space="preserve">10.1016/j.robot.2026.105530</t>
  </si>
  <si>
    <t xml:space="preserve">S056</t>
  </si>
  <si>
    <t xml:space="preserve">The ETS2 Dataset, Synthetic Data from Video Games for Monocular Depth Estimation</t>
  </si>
  <si>
    <t xml:space="preserve">María-Arribas, D.</t>
  </si>
  <si>
    <t xml:space="preserve">10.1007/978-3-031-36616-1_30</t>
  </si>
  <si>
    <t xml:space="preserve">S057</t>
  </si>
  <si>
    <t xml:space="preserve">Personalized and Interactive Learning Platform for Students with Autism Spectrum Disorder</t>
  </si>
  <si>
    <t xml:space="preserve">Ranaweera, K.G.</t>
  </si>
  <si>
    <t xml:space="preserve">ICAC 2023 - 5th International Conference on Advancements in Computing: Technological Innovation for a Sustainable Economy, Proceedings</t>
  </si>
  <si>
    <t xml:space="preserve">10.1109/icac60630.2023.10417404</t>
  </si>
  <si>
    <t xml:space="preserve">S058</t>
  </si>
  <si>
    <t xml:space="preserve">Video OWL-ViT: Temporally-consistent open-world localization in video</t>
  </si>
  <si>
    <t xml:space="preserve">Heigold, G.</t>
  </si>
  <si>
    <t xml:space="preserve">Proceedings of the IEEE International Conference on Computer Vision</t>
  </si>
  <si>
    <t xml:space="preserve">10.1109/iccv51070.2023.01269</t>
  </si>
  <si>
    <t xml:space="preserve">S059</t>
  </si>
  <si>
    <t xml:space="preserve">Towards biologically plausible model-based reinforcement learning in recurrent spiking networks by dreaming new experiences</t>
  </si>
  <si>
    <t xml:space="preserve">Capone, C.</t>
  </si>
  <si>
    <t xml:space="preserve">Scientific Reports</t>
  </si>
  <si>
    <t xml:space="preserve">10.1038/s41598-024-65631-y</t>
  </si>
  <si>
    <t xml:space="preserve">S060</t>
  </si>
  <si>
    <t xml:space="preserve">ULTIMATE: A Tool for the Verification and Synthesis of Stochastic World Models</t>
  </si>
  <si>
    <t xml:space="preserve">Calinescu, R.</t>
  </si>
  <si>
    <t xml:space="preserve">Lecture Notes in Computer Science</t>
  </si>
  <si>
    <t xml:space="preserve">10.1007/978-3-032-32537-2_28</t>
  </si>
  <si>
    <t xml:space="preserve">S061</t>
  </si>
  <si>
    <t xml:space="preserve">Learning Object-Based World Models in MsPacman with DreamerV2</t>
  </si>
  <si>
    <t xml:space="preserve">Cardenas, J.D.</t>
  </si>
  <si>
    <t xml:space="preserve">Proceedings - International Conference of the Chilean Computer Science Society, SCCC</t>
  </si>
  <si>
    <t xml:space="preserve">10.1109/sccc67219.2025.11420437</t>
  </si>
  <si>
    <t xml:space="preserve">S062</t>
  </si>
  <si>
    <t xml:space="preserve">Integrated world modeling theory expanded: Implications for the future of consciousness</t>
  </si>
  <si>
    <t xml:space="preserve">Safron, A.</t>
  </si>
  <si>
    <t xml:space="preserve">Frontiers in Computational Neuroscience</t>
  </si>
  <si>
    <t xml:space="preserve">10.3389/fncom.2022.642397</t>
  </si>
  <si>
    <t xml:space="preserve">S063</t>
  </si>
  <si>
    <t xml:space="preserve">Model-Based Reinforcement Learning with Automated Planning for Network Management</t>
  </si>
  <si>
    <t xml:space="preserve">Ordonez, A.</t>
  </si>
  <si>
    <t xml:space="preserve">Sensors</t>
  </si>
  <si>
    <t xml:space="preserve">10.3390/s22166301</t>
  </si>
  <si>
    <t xml:space="preserve">S064</t>
  </si>
  <si>
    <t xml:space="preserve">Learning Counterfactually Decoupled Attention for Open-World Model Attribution</t>
  </si>
  <si>
    <t xml:space="preserve">Zheng, Y.</t>
  </si>
  <si>
    <t xml:space="preserve">10.1109/iccv51701.2025.00019</t>
  </si>
  <si>
    <t xml:space="preserve">S065</t>
  </si>
  <si>
    <t xml:space="preserve">The World of Screen Creatures</t>
  </si>
  <si>
    <t xml:space="preserve">Liu, B.</t>
  </si>
  <si>
    <t xml:space="preserve">Constructivist Foundations</t>
  </si>
  <si>
    <t xml:space="preserve">S066</t>
  </si>
  <si>
    <t xml:space="preserve">Deriving a Data-Efficient, Generalist Agent Through World Models</t>
  </si>
  <si>
    <t xml:space="preserve">Kim, J.</t>
  </si>
  <si>
    <t xml:space="preserve">IEEE Access</t>
  </si>
  <si>
    <t xml:space="preserve">10.1109/access.2026.3726084</t>
  </si>
  <si>
    <t xml:space="preserve">S067</t>
  </si>
  <si>
    <t xml:space="preserve">DReCon: Data-driven responsive control of physics-based characters</t>
  </si>
  <si>
    <t xml:space="preserve">Bergamin, K.</t>
  </si>
  <si>
    <t xml:space="preserve">10.1145/3355089.3356536</t>
  </si>
  <si>
    <t xml:space="preserve">S068</t>
  </si>
  <si>
    <t xml:space="preserve">The Looking Glass Framework: Using Virtual Reality and Video Game Simulations to Improve Clinical Decision-Making and Reduce Healthcare Disparities in African Americans</t>
  </si>
  <si>
    <t xml:space="preserve">Fronk, A.E.</t>
  </si>
  <si>
    <t xml:space="preserve">Journal of Health and Human Services Administration</t>
  </si>
  <si>
    <t xml:space="preserve">10.1177/10793739241274841</t>
  </si>
  <si>
    <t xml:space="preserve">S069</t>
  </si>
  <si>
    <t xml:space="preserve">A game based virtual campus tour</t>
  </si>
  <si>
    <t xml:space="preserve">Razia Sulthana, A.</t>
  </si>
  <si>
    <t xml:space="preserve">Journal of Physics: Conference Series</t>
  </si>
  <si>
    <t xml:space="preserve">10.1088/1742-6596/1000/1/012131</t>
  </si>
  <si>
    <t xml:space="preserve">S070</t>
  </si>
  <si>
    <t xml:space="preserve">WorldWander: Bridging Egocentric and Exocentric Worlds in Video Generation</t>
  </si>
  <si>
    <t xml:space="preserve">Song, Q.</t>
  </si>
  <si>
    <t xml:space="preserve">10.1007/978-3-032-36846-1_36</t>
  </si>
  <si>
    <t xml:space="preserve">S071</t>
  </si>
  <si>
    <t xml:space="preserve">Mamba World Model for RL: Enhancing Long-term Memory in Model-based Reinforcement Learning</t>
  </si>
  <si>
    <t xml:space="preserve">Cao, M.</t>
  </si>
  <si>
    <t xml:space="preserve">Proceedings - 2025 24th International Conference on Machine Learning and Applications, ICMLA 2025</t>
  </si>
  <si>
    <t xml:space="preserve">10.1109/icmla66185.2025.00094</t>
  </si>
  <si>
    <t xml:space="preserve">S072</t>
  </si>
  <si>
    <t xml:space="preserve">LidarDM: Generative LiDAR Simulation in a Generated World</t>
  </si>
  <si>
    <t xml:space="preserve">Zyrianov, V.</t>
  </si>
  <si>
    <t xml:space="preserve">10.1109/icra55743.2025.11128001</t>
  </si>
  <si>
    <t xml:space="preserve">S073</t>
  </si>
  <si>
    <t xml:space="preserve">Q-CP: Learning Action Values for Cooperative Planning</t>
  </si>
  <si>
    <t xml:space="preserve">Riccio, F.</t>
  </si>
  <si>
    <t xml:space="preserve">10.1109/icra.2018.8460180</t>
  </si>
  <si>
    <t xml:space="preserve">S074</t>
  </si>
  <si>
    <t xml:space="preserve">Geometrycrafter: Consistent Geometry Estimation for Open-World Videos With Diffusion Priors</t>
  </si>
  <si>
    <t xml:space="preserve">Xu, T.-X.</t>
  </si>
  <si>
    <t xml:space="preserve">10.1109/iccv51701.2025.00625</t>
  </si>
  <si>
    <t xml:space="preserve">S075</t>
  </si>
  <si>
    <t xml:space="preserve">DREAMSMOOTH: IMPROVING MODEL-BASED REINFORCEMENT LEARNING VIA REWARD SMOOTHING</t>
  </si>
  <si>
    <t xml:space="preserve">Lee, V.</t>
  </si>
  <si>
    <t xml:space="preserve">12th International Conference on Learning Representations, ICLR 2024</t>
  </si>
  <si>
    <t xml:space="preserve">S076</t>
  </si>
  <si>
    <t xml:space="preserve">Real-time latency prediction for cloud gaming applications</t>
  </si>
  <si>
    <t xml:space="preserve">Monaco, D.</t>
  </si>
  <si>
    <t xml:space="preserve">Computer Networks</t>
  </si>
  <si>
    <t xml:space="preserve">10.1016/j.comnet.2025.111235</t>
  </si>
  <si>
    <t xml:space="preserve">S077</t>
  </si>
  <si>
    <t xml:space="preserve">Hierarchical mental-states reasoning with dynamic fusion world models for imperfect multi-unmanned aerial vehicle cooperative-competitive environments</t>
  </si>
  <si>
    <t xml:space="preserve">Engineering Applications of Artificial Intelligence</t>
  </si>
  <si>
    <t xml:space="preserve">10.1016/j.engappai.2026.114402</t>
  </si>
  <si>
    <t xml:space="preserve">S078</t>
  </si>
  <si>
    <t xml:space="preserve">HarmonyDream: Task Harmonization Inside World Models</t>
  </si>
  <si>
    <t xml:space="preserve">Ma, H.</t>
  </si>
  <si>
    <t xml:space="preserve">S079</t>
  </si>
  <si>
    <t xml:space="preserve">The open-world object counting algorithm based on YOLO-WOLD</t>
  </si>
  <si>
    <t xml:space="preserve">Mao, X.</t>
  </si>
  <si>
    <t xml:space="preserve">Proceedings of SPIE - The International Society for Optical Engineering</t>
  </si>
  <si>
    <t xml:space="preserve">10.1117/12.3066792</t>
  </si>
  <si>
    <t xml:space="preserve">S080</t>
  </si>
  <si>
    <t xml:space="preserve">Duplicate</t>
  </si>
  <si>
    <t xml:space="preserve">same DOI</t>
  </si>
  <si>
    <t xml:space="preserve">Proceedings of the International Joint Conference on Autonomous Agents and Multiagent Systems, AAMAS</t>
  </si>
  <si>
    <t xml:space="preserve">S081</t>
  </si>
  <si>
    <t xml:space="preserve">When Boston Isn’t Boston: Useful Lies of Reconstructive Game Models</t>
  </si>
  <si>
    <t xml:space="preserve">CATROS, A.</t>
  </si>
  <si>
    <t xml:space="preserve">Traditional Dwellings and Settlements Review</t>
  </si>
  <si>
    <t xml:space="preserve">S082</t>
  </si>
  <si>
    <t xml:space="preserve">Pre-Trained Video Generative Models as World Simulators</t>
  </si>
  <si>
    <t xml:space="preserve">He, H.</t>
  </si>
  <si>
    <t xml:space="preserve">Proceedings of the AAAI Conference on Artificial Intelligence</t>
  </si>
  <si>
    <t xml:space="preserve">10.1609/aaai.v40i6.42465</t>
  </si>
  <si>
    <t xml:space="preserve">S083</t>
  </si>
  <si>
    <t xml:space="preserve">Augmented Reality Interface Quality of Experience Assessment Using Video Game Simulation</t>
  </si>
  <si>
    <t xml:space="preserve">Misura, K.</t>
  </si>
  <si>
    <t xml:space="preserve">2024 32nd International Conference on Software, Telecommunications and Computer Networks, SoftCOM 2024</t>
  </si>
  <si>
    <t xml:space="preserve">10.23919/softcom62040.2024.10721647</t>
  </si>
  <si>
    <t xml:space="preserve">S084</t>
  </si>
  <si>
    <t xml:space="preserve">The digital brush paints a flourishing world: enacting religion and aesthetic traditions in Ōkami</t>
  </si>
  <si>
    <t xml:space="preserve">Harwood, B.J.</t>
  </si>
  <si>
    <t xml:space="preserve">Journal of Contemporary Religion</t>
  </si>
  <si>
    <t xml:space="preserve">10.1080/13537903.2022.2099084</t>
  </si>
  <si>
    <t xml:space="preserve">S085</t>
  </si>
  <si>
    <t xml:space="preserve">AUDETER: A Large-scale Dataset for Deepfake Audio Detection in Open Worlds</t>
  </si>
  <si>
    <t xml:space="preserve">Wang, Q.</t>
  </si>
  <si>
    <t xml:space="preserve">Proceedings of the ACM SIGKDD International Conference on Knowledge Discovery and Data Mining</t>
  </si>
  <si>
    <t xml:space="preserve">10.1145/3770855.3817583</t>
  </si>
  <si>
    <t xml:space="preserve">S086</t>
  </si>
  <si>
    <t xml:space="preserve">DrivingDojo Dataset: Advancing Interactive and Knowledge-Enriched Driving World Model</t>
  </si>
  <si>
    <t xml:space="preserve">S087</t>
  </si>
  <si>
    <t xml:space="preserve">People Can Adaptively Exploit Model-free and Model-based Reinforcement Learning in Competitive Games</t>
  </si>
  <si>
    <t xml:space="preserve">Howatt, B.C.</t>
  </si>
  <si>
    <t xml:space="preserve">Quarterly Journal of Experimental Psychology</t>
  </si>
  <si>
    <t xml:space="preserve">10.1177/17470218261437211</t>
  </si>
  <si>
    <t xml:space="preserve">S088</t>
  </si>
  <si>
    <t xml:space="preserve">Model-Based Reinforcement Learning Method for Microgrid Optimization Scheduling</t>
  </si>
  <si>
    <t xml:space="preserve">Yao, J.</t>
  </si>
  <si>
    <t xml:space="preserve">Sustainability (Switzerland)</t>
  </si>
  <si>
    <t xml:space="preserve">10.3390/su15129235</t>
  </si>
  <si>
    <t xml:space="preserve">S089</t>
  </si>
  <si>
    <t xml:space="preserve">5G Link Emulation Based on Channel Properties in a 3D Virtual World Model</t>
  </si>
  <si>
    <t xml:space="preserve">Liu, N.</t>
  </si>
  <si>
    <t xml:space="preserve">WiNTECH 2026  - Proceedings of the 2025 ACM Workshop on Wireless Network Testbeds, Experimental evaluation and Characterization</t>
  </si>
  <si>
    <t xml:space="preserve">10.1145/3737895.3768294</t>
  </si>
  <si>
    <t xml:space="preserve">S090</t>
  </si>
  <si>
    <t xml:space="preserve">Three-dimensional architectural modeling and decoration design system based on virtual reality</t>
  </si>
  <si>
    <t xml:space="preserve">Han, C.</t>
  </si>
  <si>
    <t xml:space="preserve">Proceedings of the 3rd International Conference on Intelligent Sustainable Systems, ICISS 2020</t>
  </si>
  <si>
    <t xml:space="preserve">10.1109/iciss49785.2020.9316088</t>
  </si>
  <si>
    <t xml:space="preserve">S091</t>
  </si>
  <si>
    <t xml:space="preserve">Towards to Extended Empathy Methods in Design Thinking</t>
  </si>
  <si>
    <t xml:space="preserve">Skibina, V.</t>
  </si>
  <si>
    <t xml:space="preserve">Communications in Computer and Information Science</t>
  </si>
  <si>
    <t xml:space="preserve">10.1007/978-3-030-95494-9_27</t>
  </si>
  <si>
    <t xml:space="preserve">S092</t>
  </si>
  <si>
    <t xml:space="preserve">Twin World Model Assisted by Multifrequency-Enhanced Image Features</t>
  </si>
  <si>
    <t xml:space="preserve">IEEE Transactions on Systems, Man, and Cybernetics: Systems</t>
  </si>
  <si>
    <t xml:space="preserve">10.1109/tsmc.2026.3731216</t>
  </si>
  <si>
    <t xml:space="preserve">S093</t>
  </si>
  <si>
    <t xml:space="preserve">CONTRASTIVE LEARNING OF STRUCTURED WORLD MODELS</t>
  </si>
  <si>
    <t xml:space="preserve">Kipf, T.</t>
  </si>
  <si>
    <t xml:space="preserve">8th International Conference on Learning Representations, ICLR 2020</t>
  </si>
  <si>
    <t xml:space="preserve">S094</t>
  </si>
  <si>
    <t xml:space="preserve">The Technological Mediation of Collective Memory Through Historical Video Games</t>
  </si>
  <si>
    <t xml:space="preserve">Matei, Ș.</t>
  </si>
  <si>
    <t xml:space="preserve">Games and Culture</t>
  </si>
  <si>
    <t xml:space="preserve">10.1177/15554120231206862</t>
  </si>
  <si>
    <t xml:space="preserve">S095</t>
  </si>
  <si>
    <t xml:space="preserve">Action-Conditioned Transformers for Decentralized Multi-Agent World Models</t>
  </si>
  <si>
    <t xml:space="preserve">Kich, V.A.</t>
  </si>
  <si>
    <t xml:space="preserve">Transactions on Machine Learning Research</t>
  </si>
  <si>
    <t xml:space="preserve">S096</t>
  </si>
  <si>
    <t xml:space="preserve">Can Language Models Serve as Text-Based World Simulators?</t>
  </si>
  <si>
    <t xml:space="preserve">Wang, R.</t>
  </si>
  <si>
    <t xml:space="preserve">Proceedings of the Annual Meeting of the Association for Computational Linguistics</t>
  </si>
  <si>
    <t xml:space="preserve">10.18653/v1/2024.acl-short.1</t>
  </si>
  <si>
    <t xml:space="preserve">S097</t>
  </si>
  <si>
    <t xml:space="preserve">Model-Based DRL for Task Scheduling in Dynamic Environments for Cognitive Multifunction Radar</t>
  </si>
  <si>
    <t xml:space="preserve">Akbar, S.</t>
  </si>
  <si>
    <t xml:space="preserve">Proceedings of the IEEE Radar Conference</t>
  </si>
  <si>
    <t xml:space="preserve">10.1109/radarconf2458775.2024.10548118</t>
  </si>
  <si>
    <t xml:space="preserve">S098</t>
  </si>
  <si>
    <t xml:space="preserve">Emergence of Structured Behaviors from Curiosity-Based Intrinsic Motivation</t>
  </si>
  <si>
    <t xml:space="preserve">Haber, N.</t>
  </si>
  <si>
    <t xml:space="preserve">Proceedings of the 40th Annual Meeting of the Cognitive Science Society, CogSci 2018</t>
  </si>
  <si>
    <t xml:space="preserve">S099</t>
  </si>
  <si>
    <t xml:space="preserve">Robot Control Using Model-Based Reinforcement Learning With Inverse Kinematics</t>
  </si>
  <si>
    <t xml:space="preserve">Luipers, D.</t>
  </si>
  <si>
    <t xml:space="preserve">2022 IEEE International Conference on Development and Learning, ICDL 2022</t>
  </si>
  <si>
    <t xml:space="preserve">10.1109/icdl53763.2022.9962215</t>
  </si>
  <si>
    <t xml:space="preserve">S100</t>
  </si>
  <si>
    <t xml:space="preserve">AgentSense: Virtual Sensor Data Generation Using LLM Agents in Simulated Home Environments</t>
  </si>
  <si>
    <t xml:space="preserve">Leng, Z.</t>
  </si>
  <si>
    <t xml:space="preserve">10.1609/aaai.v40i3.37169</t>
  </si>
  <si>
    <t xml:space="preserve">S101</t>
  </si>
  <si>
    <t xml:space="preserve">Reaching Optimal Distributed Estimation Through Myopic Self-Confidence Adaptation</t>
  </si>
  <si>
    <t xml:space="preserve">Como, G.</t>
  </si>
  <si>
    <t xml:space="preserve">IFAC-PapersOnLine</t>
  </si>
  <si>
    <t xml:space="preserve">10.1016/j.ifacol.2022.11.093</t>
  </si>
  <si>
    <t xml:space="preserve">S102</t>
  </si>
  <si>
    <t xml:space="preserve">Neural signatures of reinforcement learning correlate with strategy adoption during spatial navigation</t>
  </si>
  <si>
    <t xml:space="preserve">Anggraini, D.</t>
  </si>
  <si>
    <t xml:space="preserve">10.1038/s41598-018-28241-z</t>
  </si>
  <si>
    <t xml:space="preserve">S103</t>
  </si>
  <si>
    <t xml:space="preserve">OpenIns3D: Snap and Lookup for 3D Open-Vocabulary Instance Segmentation</t>
  </si>
  <si>
    <t xml:space="preserve">Huang, Z.</t>
  </si>
  <si>
    <t xml:space="preserve">10.1007/978-3-031-73033-7_10</t>
  </si>
  <si>
    <t xml:space="preserve">S104</t>
  </si>
  <si>
    <t xml:space="preserve">Lessons Learned from Utilizing Guided Policy Search for Human-Robot Handovers with a Collaborative Robot</t>
  </si>
  <si>
    <t xml:space="preserve">Kshirsagar, A.</t>
  </si>
  <si>
    <t xml:space="preserve">2022 2nd International Conference on Robotics, Automation and Artificial Intelligence, RAAI 2022</t>
  </si>
  <si>
    <t xml:space="preserve">10.1109/raai56146.2022.10092989</t>
  </si>
  <si>
    <t xml:space="preserve">S105</t>
  </si>
  <si>
    <t xml:space="preserve">ARROW: Augmented Replay for RObust World models</t>
  </si>
  <si>
    <t xml:space="preserve">Alyahya, A.</t>
  </si>
  <si>
    <t xml:space="preserve">S106</t>
  </si>
  <si>
    <t xml:space="preserve">DURABLE-RL: A Dynamic Uncertainty-aware Hybrid Reinforcement Learning Framework with Adaptive Buffer and Ensemble Modelling</t>
  </si>
  <si>
    <t xml:space="preserve">Abbood, S.H.</t>
  </si>
  <si>
    <t xml:space="preserve">International Journal of Intelligent Engineering and Systems</t>
  </si>
  <si>
    <t xml:space="preserve">10.22266/ijies2025.1031.32</t>
  </si>
  <si>
    <t xml:space="preserve">S107</t>
  </si>
  <si>
    <t xml:space="preserve">ON THE ROLE OF PLANNING IN MODEL-BASED DEEP REINFORCEMENT LEARNING</t>
  </si>
  <si>
    <t xml:space="preserve">Hamrick, J.B.</t>
  </si>
  <si>
    <t xml:space="preserve">ICLR 2021 - 9th International Conference on Learning Representations</t>
  </si>
  <si>
    <t xml:space="preserve">S108</t>
  </si>
  <si>
    <t xml:space="preserve">A Data-driven Pricing Scheme for Optimal Routing through Artificial Currencies</t>
  </si>
  <si>
    <t xml:space="preserve">van de Sanden, D.</t>
  </si>
  <si>
    <t xml:space="preserve">10.1016/j.ifacol.2023.10.1390</t>
  </si>
  <si>
    <t xml:space="preserve">S109</t>
  </si>
  <si>
    <t xml:space="preserve">Do Embodied Agents Dream of Pixelated Sheep?: Embodied Decision Making using Language Guided World Modelling</t>
  </si>
  <si>
    <t xml:space="preserve">Nottingham, K.</t>
  </si>
  <si>
    <t xml:space="preserve">S110</t>
  </si>
  <si>
    <t xml:space="preserve">Open-World Foreign Object Debris Detection Framework Empowered by Generative Adversarial Network and Computer Vision Models</t>
  </si>
  <si>
    <t xml:space="preserve">Noroozi, M.</t>
  </si>
  <si>
    <t xml:space="preserve">Transportation Research Record</t>
  </si>
  <si>
    <t xml:space="preserve">10.1177/03611981241246263</t>
  </si>
  <si>
    <t xml:space="preserve">S111</t>
  </si>
  <si>
    <t xml:space="preserve">STORM: Efficient Stochastic Transformer based World Models for Reinforcement Learning</t>
  </si>
  <si>
    <t xml:space="preserve">Zhang, W.</t>
  </si>
  <si>
    <t xml:space="preserve">S112</t>
  </si>
  <si>
    <t xml:space="preserve">Open-world probabilistic databases: Semantics, algorithms, complexity</t>
  </si>
  <si>
    <t xml:space="preserve">Ceylan, İ.İ.</t>
  </si>
  <si>
    <t xml:space="preserve">Artificial Intelligence</t>
  </si>
  <si>
    <t xml:space="preserve">10.1016/j.artint.2021.103474</t>
  </si>
  <si>
    <t xml:space="preserve">S113</t>
  </si>
  <si>
    <t xml:space="preserve">Video game simulation on car driving: Analysis of participants' gaze behavior and perception of usability, risk, and visual attention</t>
  </si>
  <si>
    <t xml:space="preserve">de Angelo, J.C.</t>
  </si>
  <si>
    <t xml:space="preserve">Strategic Design Research Journal</t>
  </si>
  <si>
    <t xml:space="preserve">10.4013/sdrj.2019.123.02</t>
  </si>
  <si>
    <t xml:space="preserve">S114</t>
  </si>
  <si>
    <t xml:space="preserve">Open-World Learning for Traffic Scenarios Categorisation</t>
  </si>
  <si>
    <t xml:space="preserve">Balasubramanian, L.</t>
  </si>
  <si>
    <t xml:space="preserve">IEEE Transactions on Intelligent Vehicles</t>
  </si>
  <si>
    <t xml:space="preserve">10.1109/tiv.2023.3260270</t>
  </si>
  <si>
    <t xml:space="preserve">S115</t>
  </si>
  <si>
    <t xml:space="preserve">Arm Model for Elbow Motor Control</t>
  </si>
  <si>
    <t xml:space="preserve">Noorani, M.-R.S.</t>
  </si>
  <si>
    <t xml:space="preserve">32nd National and 10th International Iranian Conference on Biomedical Engineering, ICBME 2025</t>
  </si>
  <si>
    <t xml:space="preserve">10.1109/icbme68496.2025.11392469</t>
  </si>
  <si>
    <t xml:space="preserve">S116</t>
  </si>
  <si>
    <t xml:space="preserve">Cultural heritage and communication through simulation videogames—a validation of minecraft</t>
  </si>
  <si>
    <t xml:space="preserve">Garcia-Fernandez, J.</t>
  </si>
  <si>
    <t xml:space="preserve">Heritage</t>
  </si>
  <si>
    <t xml:space="preserve">10.3390/heritage2030138</t>
  </si>
  <si>
    <t xml:space="preserve">S117</t>
  </si>
  <si>
    <t xml:space="preserve">World Models with an Entity-Based Representation</t>
  </si>
  <si>
    <t xml:space="preserve">Khameneh, N.Y.</t>
  </si>
  <si>
    <t xml:space="preserve">Proceedings - AAAI Artificial Intelligence and Interactive Digital Entertainment Conference, AIIDE</t>
  </si>
  <si>
    <t xml:space="preserve">10.1609/aiide.v18i1.21966</t>
  </si>
  <si>
    <t xml:space="preserve">S118</t>
  </si>
  <si>
    <t xml:space="preserve">A novel “video-game” simulator for training fetoscopic laser coagulation of anastomoses in twin-to-twin transfusion syndrome</t>
  </si>
  <si>
    <t xml:space="preserve">Windrim, R.</t>
  </si>
  <si>
    <t xml:space="preserve">Prenatal Diagnosis</t>
  </si>
  <si>
    <t xml:space="preserve">10.1002/pd.5926</t>
  </si>
  <si>
    <t xml:space="preserve">S119</t>
  </si>
  <si>
    <t xml:space="preserve">Predicting Large-scaled, Cloud-hosted Virtual World Resource Demands for Automated Load Balancing</t>
  </si>
  <si>
    <t xml:space="preserve">Sharma, N.</t>
  </si>
  <si>
    <t xml:space="preserve">Proceedings - 2020 International Conference on Computational Science and Computational Intelligence, CSCI 2020</t>
  </si>
  <si>
    <t xml:space="preserve">10.1109/csci51800.2020.00064</t>
  </si>
  <si>
    <t xml:space="preserve">S120</t>
  </si>
  <si>
    <t xml:space="preserve">Evaluating the World Model Implicit in a Generative Model</t>
  </si>
  <si>
    <t xml:space="preserve">Vafa, K.</t>
  </si>
  <si>
    <t xml:space="preserve">S121</t>
  </si>
  <si>
    <t xml:space="preserve">Model-based reinforcement learning control of reaction-diffusion problems</t>
  </si>
  <si>
    <t xml:space="preserve">Schenk, C.</t>
  </si>
  <si>
    <t xml:space="preserve">Optimal Control Applications and Methods</t>
  </si>
  <si>
    <t xml:space="preserve">10.1002/oca.3196</t>
  </si>
  <si>
    <t xml:space="preserve">S122</t>
  </si>
  <si>
    <t xml:space="preserve">A Generative Neuro-Cognitive Architecture Using Quantum Algorithms for the Autonomous Behavior of a Smart Agent in a Simulation Environment</t>
  </si>
  <si>
    <t xml:space="preserve">Daglarli, E.</t>
  </si>
  <si>
    <t xml:space="preserve">Computers, Materials and Continua</t>
  </si>
  <si>
    <t xml:space="preserve">10.32604/cmc.2025.065572</t>
  </si>
  <si>
    <t xml:space="preserve">S123</t>
  </si>
  <si>
    <t xml:space="preserve">Autonomous mobility-on-demand real-Time gaming framework</t>
  </si>
  <si>
    <t xml:space="preserve">Dandl, F.</t>
  </si>
  <si>
    <t xml:space="preserve">MT-ITS 2019 - 6th International Conference on Models and Technologies for Intelligent Transportation Systems</t>
  </si>
  <si>
    <t xml:space="preserve">10.1109/mtits.2019.8883286</t>
  </si>
  <si>
    <t xml:space="preserve">S124</t>
  </si>
  <si>
    <t xml:space="preserve">SPEEDYZERO: MASTERING ATARI WITH LIMITED DATA AND TIME</t>
  </si>
  <si>
    <t xml:space="preserve">Mei, Y.</t>
  </si>
  <si>
    <t xml:space="preserve">11th International Conference on Learning Representations, ICLR 2023</t>
  </si>
  <si>
    <t xml:space="preserve">S125</t>
  </si>
  <si>
    <t xml:space="preserve">Industrial Robotic Intelligence Simulation in Metaverse Scenes</t>
  </si>
  <si>
    <t xml:space="preserve">Proceedings - 2022 Chinese Automation Congress, CAC 2022</t>
  </si>
  <si>
    <t xml:space="preserve">10.1109/cac57257.2022.10054666</t>
  </si>
  <si>
    <t xml:space="preserve">S126</t>
  </si>
  <si>
    <t xml:space="preserve">Peer-to-peer energy trading: A review of the literature</t>
  </si>
  <si>
    <t xml:space="preserve">Soto, E.A.</t>
  </si>
  <si>
    <t xml:space="preserve">Applied Energy</t>
  </si>
  <si>
    <t xml:space="preserve">10.1016/j.apenergy.2020.116268</t>
  </si>
  <si>
    <t xml:space="preserve">S127</t>
  </si>
  <si>
    <t xml:space="preserve">Between the bars: Virtual reality and physical prison simulations link to reduced prejudice against incarcerated people</t>
  </si>
  <si>
    <t xml:space="preserve">Marinucci, M.</t>
  </si>
  <si>
    <t xml:space="preserve">Computers in Human Behavior</t>
  </si>
  <si>
    <t xml:space="preserve">10.1016/j.chb.2026.109048</t>
  </si>
  <si>
    <t xml:space="preserve">S128</t>
  </si>
  <si>
    <t xml:space="preserve">Reinforcement learning-based intelligent energy management architecture for hybrid construction machinery</t>
  </si>
  <si>
    <t xml:space="preserve">10.1016/j.apenergy.2020.115401</t>
  </si>
  <si>
    <t xml:space="preserve">S129</t>
  </si>
  <si>
    <t xml:space="preserve">Neuro-Symbolic World Models for Adapting to Open World Novelty</t>
  </si>
  <si>
    <t xml:space="preserve">Balloch, J.C.</t>
  </si>
  <si>
    <t xml:space="preserve">S130</t>
  </si>
  <si>
    <t xml:space="preserve">Security and privacy issues related to the workplace-based security robot system</t>
  </si>
  <si>
    <t xml:space="preserve">Guangnan, Z.</t>
  </si>
  <si>
    <t xml:space="preserve">Work</t>
  </si>
  <si>
    <t xml:space="preserve">10.3233/wor-203421</t>
  </si>
  <si>
    <t xml:space="preserve">S131</t>
  </si>
  <si>
    <t xml:space="preserve">UCM: Unified Modeling of Camera Control and Memory with Time-aware Positional Encoding Warping for World Models</t>
  </si>
  <si>
    <t xml:space="preserve">Proceedings - SIGGRAPH 2026 Conference Papers</t>
  </si>
  <si>
    <t xml:space="preserve">10.1145/3799902.3811088</t>
  </si>
  <si>
    <t xml:space="preserve">S132</t>
  </si>
  <si>
    <t xml:space="preserve">Robust website fingerprinting through the cache occupancy channel</t>
  </si>
  <si>
    <t xml:space="preserve">Shusterman, A.</t>
  </si>
  <si>
    <t xml:space="preserve">Proceedings of the 28th USENIX Security Symposium</t>
  </si>
  <si>
    <t xml:space="preserve">S133</t>
  </si>
  <si>
    <t xml:space="preserve">Robust Ensemble Adversarial Model-Based Reinforcement Learning</t>
  </si>
  <si>
    <t xml:space="preserve">Foffano, D.</t>
  </si>
  <si>
    <t xml:space="preserve">ALA 2022 - Adaptive and Learning Agents Workshop at AAMAS 2022</t>
  </si>
  <si>
    <t xml:space="preserve">S134</t>
  </si>
  <si>
    <t xml:space="preserve">Designing a virtual arboretum as an immersive, multimodal, interactive, data visualization virtual field trip</t>
  </si>
  <si>
    <t xml:space="preserve">Harrington, M.C.R.</t>
  </si>
  <si>
    <t xml:space="preserve">Multimodal Technologies and Interaction</t>
  </si>
  <si>
    <t xml:space="preserve">10.3390/mti5040018</t>
  </si>
  <si>
    <t xml:space="preserve">S135</t>
  </si>
  <si>
    <t xml:space="preserve">Filtered Observations for Model-Based Multi-agent Reinforcement Learning</t>
  </si>
  <si>
    <t xml:space="preserve">Meng, L.</t>
  </si>
  <si>
    <t xml:space="preserve">10.1007/978-3-031-43421-1_32</t>
  </si>
  <si>
    <t xml:space="preserve">S136</t>
  </si>
  <si>
    <t xml:space="preserve">Solution supporting the communication of the built heritage: Semi-automatic production path to transfer semantic LIDAR data to minecraft environment</t>
  </si>
  <si>
    <t xml:space="preserve">García-Fernández, J.</t>
  </si>
  <si>
    <t xml:space="preserve">Digital Applications in Archaeology and Cultural Heritage</t>
  </si>
  <si>
    <t xml:space="preserve">10.1016/j.daach.2019.e00112</t>
  </si>
  <si>
    <t xml:space="preserve">S137</t>
  </si>
  <si>
    <t xml:space="preserve">Reinforcement Learning-Based NOMA Power Allocation in the Presence of Smart Jamming</t>
  </si>
  <si>
    <t xml:space="preserve">Xiao, L.</t>
  </si>
  <si>
    <t xml:space="preserve">IEEE Transactions on Vehicular Technology</t>
  </si>
  <si>
    <t xml:space="preserve">10.1109/tvt.2017.2782726</t>
  </si>
  <si>
    <t xml:space="preserve">S138</t>
  </si>
  <si>
    <t xml:space="preserve">MODEL BASED REINFORCEMENT LEARNING FOR ATARI</t>
  </si>
  <si>
    <t xml:space="preserve">Kaiser, Ł.</t>
  </si>
  <si>
    <t xml:space="preserve">S139</t>
  </si>
  <si>
    <t xml:space="preserve">Exploring the Impact of User Experience Elements on Virtual Reality for Emotion Regulation Through mVR-Real App</t>
  </si>
  <si>
    <t xml:space="preserve">Hamzah, I.</t>
  </si>
  <si>
    <t xml:space="preserve">International Journal of Advanced Computer Science and Applications</t>
  </si>
  <si>
    <t xml:space="preserve">10.14569/ijacsa.2024.0151028</t>
  </si>
  <si>
    <t xml:space="preserve">S140</t>
  </si>
  <si>
    <t xml:space="preserve">Research on deep learning video game simulation algorithm based on western wind music</t>
  </si>
  <si>
    <t xml:space="preserve">Dong, Y.</t>
  </si>
  <si>
    <t xml:space="preserve">Entertainment Computing</t>
  </si>
  <si>
    <t xml:space="preserve">10.1016/j.entcom.2023.100566</t>
  </si>
  <si>
    <t xml:space="preserve">S141</t>
  </si>
  <si>
    <t xml:space="preserve">Enhanced Imagination and Feature Balancing for Cooperative Multi-agent Reinforcement Learning</t>
  </si>
  <si>
    <t xml:space="preserve">Xu, F.</t>
  </si>
  <si>
    <t xml:space="preserve">10.1007/978-981-96-6954-7_11</t>
  </si>
  <si>
    <t xml:space="preserve">S142</t>
  </si>
  <si>
    <t xml:space="preserve">Model-based or model-free, a review of approaches in reinforcement learning</t>
  </si>
  <si>
    <t xml:space="preserve">Huang, Q.</t>
  </si>
  <si>
    <t xml:space="preserve">Proceedings - 2020 International Conference on Computing and Data Science, CDS 2020</t>
  </si>
  <si>
    <t xml:space="preserve">10.1109/cds49703.2020.00051</t>
  </si>
  <si>
    <t xml:space="preserve">S143</t>
  </si>
  <si>
    <t xml:space="preserve">Latent world models for intrinsically motivated exploration</t>
  </si>
  <si>
    <t xml:space="preserve">Ermolov, A.</t>
  </si>
  <si>
    <t xml:space="preserve">S144</t>
  </si>
  <si>
    <t xml:space="preserve">Embodiment in Virtual Environments: The Role of Working Memory in Experiencing Presence as Revealed via Eye Tracking</t>
  </si>
  <si>
    <t xml:space="preserve">Lu, S.</t>
  </si>
  <si>
    <t xml:space="preserve">Journal of Cognitive Education and Psychology</t>
  </si>
  <si>
    <t xml:space="preserve">10.1891/1945-8959.18.2.223</t>
  </si>
  <si>
    <t xml:space="preserve">S145</t>
  </si>
  <si>
    <t xml:space="preserve">Modelling Competitive Behaviors in Autonomous Driving Under Generative World Model</t>
  </si>
  <si>
    <t xml:space="preserve">Qiao, G.</t>
  </si>
  <si>
    <t xml:space="preserve">10.1007/978-3-031-72761-0_2</t>
  </si>
  <si>
    <t xml:space="preserve">S146</t>
  </si>
  <si>
    <t xml:space="preserve">Toward Using ChatGPT to Generate Theme-Relevant Simulated Storyworlds</t>
  </si>
  <si>
    <t xml:space="preserve">Johnson-Bey, S.</t>
  </si>
  <si>
    <t xml:space="preserve">CEUR Workshop Proceedings</t>
  </si>
  <si>
    <t xml:space="preserve">S147</t>
  </si>
  <si>
    <t xml:space="preserve">DIFFUSION MODELS ARE REAL-TIME GAME ENGINES</t>
  </si>
  <si>
    <t xml:space="preserve">Valevski, D.</t>
  </si>
  <si>
    <t xml:space="preserve">S148</t>
  </si>
  <si>
    <t xml:space="preserve">Sample-efficient Learning for Edge Resource Allocation and Pricing with BNN Approximators</t>
  </si>
  <si>
    <t xml:space="preserve">Tutuncuoglu, F.</t>
  </si>
  <si>
    <t xml:space="preserve">IEEE INFOCOM 2024 - IEEE Conference on Computer Communications Workshops, INFOCOM WKSHPS 2024</t>
  </si>
  <si>
    <t xml:space="preserve">10.1109/infocomwkshps61880.2024.10620829</t>
  </si>
  <si>
    <t xml:space="preserve">S149</t>
  </si>
  <si>
    <t xml:space="preserve">Language-Guided World Models A Model-Based Approach to AI Control</t>
  </si>
  <si>
    <t xml:space="preserve">Zhang, A.</t>
  </si>
  <si>
    <t xml:space="preserve">SpLU-RoboNLP 2024 - 4th Workshop on Spatial Language Understanding and Grounded Communication for Robotics, Proceedings of the Workshop</t>
  </si>
  <si>
    <t xml:space="preserve">S150</t>
  </si>
  <si>
    <t xml:space="preserve">GLAM: Global-Local Variation Awareness in Mamba-based World Model</t>
  </si>
  <si>
    <t xml:space="preserve">He, Q.</t>
  </si>
  <si>
    <t xml:space="preserve">10.1609/aaai.v39i16.33880</t>
  </si>
  <si>
    <t xml:space="preserve">S151</t>
  </si>
  <si>
    <t xml:space="preserve">Composability of Cloud Accelerators in Virtual World Simulations</t>
  </si>
  <si>
    <t xml:space="preserve">Diamantopoulos, D.</t>
  </si>
  <si>
    <t xml:space="preserve">IEEE International Conference on Cloud Computing, CLOUD</t>
  </si>
  <si>
    <t xml:space="preserve">10.1109/cloud60044.2023.00038</t>
  </si>
  <si>
    <t xml:space="preserve">S152</t>
  </si>
  <si>
    <t xml:space="preserve">Nash Equilibrium Solution Based on Safety-Guarding Reinforcement Learning in Nonzero-Sum Game</t>
  </si>
  <si>
    <t xml:space="preserve">Tan, J.</t>
  </si>
  <si>
    <t xml:space="preserve">2023 8th IEEE International Conference on Advanced Robotics and Mechatronics, ICARM 2023</t>
  </si>
  <si>
    <t xml:space="preserve">10.1109/icarm58088.2023.10218910</t>
  </si>
  <si>
    <t xml:space="preserve">S153</t>
  </si>
  <si>
    <t xml:space="preserve">ROS-based navigation in unknown environment with TangentBug Algorithm: issues of practical usage</t>
  </si>
  <si>
    <t xml:space="preserve">Gorokhov, L.</t>
  </si>
  <si>
    <t xml:space="preserve">10.1117/12.3049937</t>
  </si>
  <si>
    <t xml:space="preserve">S154</t>
  </si>
  <si>
    <t xml:space="preserve">Singulation of objects in cluttered environment using dynamic estimation of physical properties</t>
  </si>
  <si>
    <t xml:space="preserve">Imran, A.</t>
  </si>
  <si>
    <t xml:space="preserve">Applied Sciences (Switzerland)</t>
  </si>
  <si>
    <t xml:space="preserve">10.3390/app9173536</t>
  </si>
  <si>
    <t xml:space="preserve">S155</t>
  </si>
  <si>
    <t xml:space="preserve">CheckersGPT: Learning World Models through Language Modeling</t>
  </si>
  <si>
    <t xml:space="preserve">Joshi, A.</t>
  </si>
  <si>
    <t xml:space="preserve">10.18653/v1/2024.acl-srw.48</t>
  </si>
  <si>
    <t xml:space="preserve">S156</t>
  </si>
  <si>
    <t xml:space="preserve">Equivariant MuZero</t>
  </si>
  <si>
    <t xml:space="preserve">Deac, A.</t>
  </si>
  <si>
    <t xml:space="preserve">S157</t>
  </si>
  <si>
    <t xml:space="preserve">Beyond games: a systematic review of neural Monte Carlo tree search applications</t>
  </si>
  <si>
    <t xml:space="preserve">Kemmerling, M.</t>
  </si>
  <si>
    <t xml:space="preserve">Applied Intelligence</t>
  </si>
  <si>
    <t xml:space="preserve">10.1007/s10489-023-05240-w</t>
  </si>
  <si>
    <t xml:space="preserve">S158</t>
  </si>
  <si>
    <t xml:space="preserve">MASTERING MEMORY TASKS WITH WORLD MODELS</t>
  </si>
  <si>
    <t xml:space="preserve">Samsami, M.R.</t>
  </si>
  <si>
    <t xml:space="preserve">S159</t>
  </si>
  <si>
    <t xml:space="preserve">Foveated haptic gaze</t>
  </si>
  <si>
    <t xml:space="preserve">Fakhri, B.</t>
  </si>
  <si>
    <t xml:space="preserve">10.1007/978-3-030-54407-2_12</t>
  </si>
  <si>
    <t xml:space="preserve">S160</t>
  </si>
  <si>
    <t xml:space="preserve">Efficient Integration of External Knowledge to LLM-based World Models via Retrieval-Augmented Generation and Reinforcement Learning</t>
  </si>
  <si>
    <t xml:space="preserve">Yang, C.</t>
  </si>
  <si>
    <t xml:space="preserve">EMNLP 2025 - 2025 Conference on Empirical Methods in Natural Language Processing, Findings of EMNLP 2025</t>
  </si>
  <si>
    <t xml:space="preserve">10.18653/v1/2025.findings-emnlp.504</t>
  </si>
  <si>
    <t xml:space="preserve">S161</t>
  </si>
  <si>
    <t xml:space="preserve">S240</t>
  </si>
  <si>
    <t xml:space="preserve">Multi-Agent Model-Based Reinforcement Learning with Joint State-Action Learned Embeddings</t>
  </si>
  <si>
    <t xml:space="preserve">Wang, Z.</t>
  </si>
  <si>
    <t xml:space="preserve">10.65109/ixmj8234</t>
  </si>
  <si>
    <t xml:space="preserve">S162</t>
  </si>
  <si>
    <t xml:space="preserve">Leveraging World Model Disentanglement in Value-Based Multi-Agent Reinforcement Learning</t>
  </si>
  <si>
    <t xml:space="preserve">Proceedings of the International Joint Conference on Neural Networks</t>
  </si>
  <si>
    <t xml:space="preserve">10.1109/ijcnn64981.2025.11228644</t>
  </si>
  <si>
    <t xml:space="preserve">S163</t>
  </si>
  <si>
    <t xml:space="preserve">Exploring Transformers for Open-world Instance Segmentation</t>
  </si>
  <si>
    <t xml:space="preserve">Wu, J.</t>
  </si>
  <si>
    <t xml:space="preserve">10.1109/iccv51070.2023.00608</t>
  </si>
  <si>
    <t xml:space="preserve">S164</t>
  </si>
  <si>
    <t xml:space="preserve">Preferences of Grade R-12 Learners in South Africa for Digital Game-Based Learning</t>
  </si>
  <si>
    <t xml:space="preserve">Mamotheti, M.</t>
  </si>
  <si>
    <t xml:space="preserve">Proceedings of the European Conference on e-Learning, ECEL</t>
  </si>
  <si>
    <t xml:space="preserve">S165</t>
  </si>
  <si>
    <t xml:space="preserve">A Model of Virtual Learning Environments Using Micro-Lecture, MOODLE, and SLOODLE</t>
  </si>
  <si>
    <t xml:space="preserve">Supriadi, F.</t>
  </si>
  <si>
    <t xml:space="preserve">2020 8th International Conference on Cyber and IT Service Management, CITSM 2020</t>
  </si>
  <si>
    <t xml:space="preserve">10.1109/citsm50537.2020.9268785</t>
  </si>
  <si>
    <t xml:space="preserve">S166</t>
  </si>
  <si>
    <t xml:space="preserve">Exploration-Driven Generative Interactive Environments</t>
  </si>
  <si>
    <t xml:space="preserve">Savov, N.</t>
  </si>
  <si>
    <t xml:space="preserve">Proceedings of the IEEE Computer Society Conference on Computer Vision and Pattern Recognition</t>
  </si>
  <si>
    <t xml:space="preserve">10.1109/cvpr52734.2025.02570</t>
  </si>
  <si>
    <t xml:space="preserve">S167</t>
  </si>
  <si>
    <t xml:space="preserve">Do Vision-Language Models Have Internal World Models? Towards an Atomic Evaluation</t>
  </si>
  <si>
    <t xml:space="preserve">Gao, Q.</t>
  </si>
  <si>
    <t xml:space="preserve">10.18653/v1/2025.findings-acl.1342</t>
  </si>
  <si>
    <t xml:space="preserve">S168</t>
  </si>
  <si>
    <t xml:space="preserve">Med-MuZero: A Model-Based Reinforcement Learning Approach for High-Accuracy Medical Image Diagnosis</t>
  </si>
  <si>
    <t xml:space="preserve">Baklizi, M.</t>
  </si>
  <si>
    <t xml:space="preserve">2026 2nd International Conference on Computational Intelligence Approaches and Applications, ICCIAA 2026 - Proceedings</t>
  </si>
  <si>
    <t xml:space="preserve">10.1109/icciaa68481.2026.11543632</t>
  </si>
  <si>
    <t xml:space="preserve">S169</t>
  </si>
  <si>
    <t xml:space="preserve">HandCraft: Tactile-Informed Hand-Object Dynamics Capture and Realistic Rendering</t>
  </si>
  <si>
    <t xml:space="preserve">Lin, H.</t>
  </si>
  <si>
    <t xml:space="preserve">MM 2025 - Proceedings of the 33rd ACM International Conference on Multimedia, Co-Located with MM 2025</t>
  </si>
  <si>
    <t xml:space="preserve">10.1145/3746027.3755822</t>
  </si>
  <si>
    <t xml:space="preserve">S170</t>
  </si>
  <si>
    <t xml:space="preserve">Model-Based Reinforcement Learning for Auto-bidding in Display Advertising</t>
  </si>
  <si>
    <t xml:space="preserve">Chen, S.</t>
  </si>
  <si>
    <t xml:space="preserve">S171</t>
  </si>
  <si>
    <t xml:space="preserve">Recurrent Autoregressive Diffusion: Global Memory Meets Local Attention</t>
  </si>
  <si>
    <t xml:space="preserve">Chen, T.</t>
  </si>
  <si>
    <t xml:space="preserve">10.1007/978-3-032-37627-5_27</t>
  </si>
  <si>
    <t xml:space="preserve">S172</t>
  </si>
  <si>
    <t xml:space="preserve">Pattern Handler: Integrating Real World and Virtual Models of Human Systems Patterns to Regulate the Control Distribution in a Cooperative Automated Driving Task</t>
  </si>
  <si>
    <t xml:space="preserve">Usai, M.</t>
  </si>
  <si>
    <t xml:space="preserve">Conference Proceedings - IEEE International Conference on Systems, Man and Cybernetics</t>
  </si>
  <si>
    <t xml:space="preserve">10.1109/smc54092.2024.10831740</t>
  </si>
  <si>
    <t xml:space="preserve">S173</t>
  </si>
  <si>
    <t xml:space="preserve">The neural architecture of theory-based reinforcement learning</t>
  </si>
  <si>
    <t xml:space="preserve">Tomov, M.S.</t>
  </si>
  <si>
    <t xml:space="preserve">Neuron</t>
  </si>
  <si>
    <t xml:space="preserve">10.1016/j.neuron.2023.01.023</t>
  </si>
  <si>
    <t xml:space="preserve">S174</t>
  </si>
  <si>
    <t xml:space="preserve">Multi-Agent Model-Based Deep Reinforcement Learning: Testing the Method in Grid-World Environments</t>
  </si>
  <si>
    <t xml:space="preserve">Bazhenov, V.V.</t>
  </si>
  <si>
    <t xml:space="preserve">International Youth Conference on Radio Electronics, Electrical and Power Engineering, REEPE</t>
  </si>
  <si>
    <t xml:space="preserve">10.1109/reepe63962.2025.10970765</t>
  </si>
  <si>
    <t xml:space="preserve">S175</t>
  </si>
  <si>
    <t xml:space="preserve">Using Artificial Neural Networks for Predicting Vehicle Survivability within a Virtual Simulation</t>
  </si>
  <si>
    <t xml:space="preserve">O'Bruba, J.</t>
  </si>
  <si>
    <t xml:space="preserve">SAE Technical Papers</t>
  </si>
  <si>
    <t xml:space="preserve">10.4271/2025-01-0482</t>
  </si>
  <si>
    <t xml:space="preserve">S176</t>
  </si>
  <si>
    <t xml:space="preserve">Towards safe and sustainable reinforcement learning for real-time strategy games</t>
  </si>
  <si>
    <t xml:space="preserve">Information Sciences</t>
  </si>
  <si>
    <t xml:space="preserve">10.1016/j.ins.2024.120980</t>
  </si>
  <si>
    <t xml:space="preserve">S177</t>
  </si>
  <si>
    <t xml:space="preserve">Generalized Self-Play Reinforcement Learning for Othello under Dynamic Board Constraints</t>
  </si>
  <si>
    <t xml:space="preserve">Kim, B.</t>
  </si>
  <si>
    <t xml:space="preserve">International Conference on ICT Convergence</t>
  </si>
  <si>
    <t xml:space="preserve">10.1109/ictc66702.2025.11388216</t>
  </si>
  <si>
    <t xml:space="preserve">S178</t>
  </si>
  <si>
    <t xml:space="preserve">Stag hunt and trust emergence in social networks</t>
  </si>
  <si>
    <t xml:space="preserve">Zhou, L.</t>
  </si>
  <si>
    <t xml:space="preserve">Future Generation Computer Systems</t>
  </si>
  <si>
    <t xml:space="preserve">10.1016/j.future.2018.05.053</t>
  </si>
  <si>
    <t xml:space="preserve">S179</t>
  </si>
  <si>
    <t xml:space="preserve">Decentralized but Not Compromised: Modular Architecture with Refined Observation for Multi-Agent Model-Based Reinforcement Learning</t>
  </si>
  <si>
    <t xml:space="preserve">Wang, S.</t>
  </si>
  <si>
    <t xml:space="preserve">10.1109/iros60139.2025.11245885</t>
  </si>
  <si>
    <t xml:space="preserve">S180</t>
  </si>
  <si>
    <t xml:space="preserve">Remote hands-on training with a novel “video-game” simulator for teaching fetoscopic laser techniques for ablation of placental anastomoses in twin-to-twin syndrome</t>
  </si>
  <si>
    <t xml:space="preserve">Windrim, C.</t>
  </si>
  <si>
    <t xml:space="preserve">10.1002/pd.6490</t>
  </si>
  <si>
    <t xml:space="preserve">S181</t>
  </si>
  <si>
    <t xml:space="preserve">Planning Rational Behavior of Cognitive Semiotic Agents in a Dynamic Environment</t>
  </si>
  <si>
    <t xml:space="preserve">Osipov, G.S.</t>
  </si>
  <si>
    <t xml:space="preserve">Scientific and Technical Information Processing</t>
  </si>
  <si>
    <t xml:space="preserve">10.3103/s0147688221060113</t>
  </si>
  <si>
    <t xml:space="preserve">S182</t>
  </si>
  <si>
    <t xml:space="preserve">Models as Agents: Optimizing Multi-Step Predictions of Interactive Local Models in Model-Based Multi-Agent Reinforcement Learning</t>
  </si>
  <si>
    <t xml:space="preserve">Wu, Z.</t>
  </si>
  <si>
    <t xml:space="preserve">Proceedings of the 37th AAAI Conference on Artificial Intelligence, AAAI 2023</t>
  </si>
  <si>
    <t xml:space="preserve">10.1609/aaai.v37i9.26241</t>
  </si>
  <si>
    <t xml:space="preserve">S183</t>
  </si>
  <si>
    <t xml:space="preserve">Model-based multi-agent RL in zero-sum Markov games with near-optimal sample complexity</t>
  </si>
  <si>
    <t xml:space="preserve">Zhang, K.</t>
  </si>
  <si>
    <t xml:space="preserve">S184</t>
  </si>
  <si>
    <t xml:space="preserve">Enhancing multi-agent reinforcement learning via world model assisted single-agent population policies in multi-UAV cooperative-competitive scenario</t>
  </si>
  <si>
    <t xml:space="preserve">Knowledge-Based Systems</t>
  </si>
  <si>
    <t xml:space="preserve">10.1016/j.knosys.2025.114534</t>
  </si>
  <si>
    <t xml:space="preserve">S185</t>
  </si>
  <si>
    <t xml:space="preserve">Synthesizing world models for bilevel planning</t>
  </si>
  <si>
    <t xml:space="preserve">Ahmed, Z.</t>
  </si>
  <si>
    <t xml:space="preserve">S186</t>
  </si>
  <si>
    <t xml:space="preserve">World Models with Hints of Large Language Models for Goal Achieving</t>
  </si>
  <si>
    <t xml:space="preserve">Liu, Z.</t>
  </si>
  <si>
    <t xml:space="preserve">Proceedings of the 2025 Annual Conference of the Nations of the Americas Chapter of the Association for Computational Linguistics: Human Language Technologies: Long Papers, NAACL-HLT 2025</t>
  </si>
  <si>
    <t xml:space="preserve">10.18653/v1/2025.naacl-long.3</t>
  </si>
  <si>
    <t xml:space="preserve">S187</t>
  </si>
  <si>
    <t xml:space="preserve">Qualia as control-theoretic constructs for autonomous agents: event phase space as an action-oriented semantic safety layer</t>
  </si>
  <si>
    <t xml:space="preserve">Suvorov, V.</t>
  </si>
  <si>
    <t xml:space="preserve">Frontiers in Robotics and AI</t>
  </si>
  <si>
    <t xml:space="preserve">10.3389/frobt.2026.1811996</t>
  </si>
  <si>
    <t xml:space="preserve">S188</t>
  </si>
  <si>
    <t xml:space="preserve">Walking a mile in Grandma’s shoes - medical students’ evaluation of a very simple online aging game to enhance their understanding of older patients</t>
  </si>
  <si>
    <t xml:space="preserve">Geier, A.-K.</t>
  </si>
  <si>
    <t xml:space="preserve">BMC Geriatrics</t>
  </si>
  <si>
    <t xml:space="preserve">10.1186/s12877-022-03470-0</t>
  </si>
  <si>
    <t xml:space="preserve">S189</t>
  </si>
  <si>
    <t xml:space="preserve">Research on the game of fishermen's cooperative behavior in developing marine carbon sink fisheries from a complex network perspective</t>
  </si>
  <si>
    <t xml:space="preserve">Ocean and Coastal Management</t>
  </si>
  <si>
    <t xml:space="preserve">10.1016/j.ocecoaman.2023.106832</t>
  </si>
  <si>
    <t xml:space="preserve">S190</t>
  </si>
  <si>
    <t xml:space="preserve">A Causal World Model Underlying Next Token Prediction: Exploring GPT in a Controlled Environment</t>
  </si>
  <si>
    <t xml:space="preserve">Rohekar, R.Y.</t>
  </si>
  <si>
    <t xml:space="preserve">S191</t>
  </si>
  <si>
    <t xml:space="preserve">From World Prediction to Interactive Simulation: A State-Managed Framework for Cosmos-like World Models</t>
  </si>
  <si>
    <t xml:space="preserve">Wang, J.</t>
  </si>
  <si>
    <t xml:space="preserve">2026 3rd International Conference on Image Processing, Multimedia Technology and Machine Learning, IPMML 2026</t>
  </si>
  <si>
    <t xml:space="preserve">10.1109/ipmml71439.2026.11682717</t>
  </si>
  <si>
    <t xml:space="preserve">S192</t>
  </si>
  <si>
    <t xml:space="preserve">Bridging the gaps: an updated mapping of the uses of immersive learning environments</t>
  </si>
  <si>
    <t xml:space="preserve">Morgado, L.</t>
  </si>
  <si>
    <t xml:space="preserve">Virtual Reality</t>
  </si>
  <si>
    <t xml:space="preserve">10.1007/s10055-025-01208-y</t>
  </si>
  <si>
    <t xml:space="preserve">S193</t>
  </si>
  <si>
    <t xml:space="preserve">Proximal policy optimization with model-based methods</t>
  </si>
  <si>
    <t xml:space="preserve">Li, S.</t>
  </si>
  <si>
    <t xml:space="preserve">Journal of Intelligent and Fuzzy Systems</t>
  </si>
  <si>
    <t xml:space="preserve">10.3233/jifs-211935</t>
  </si>
  <si>
    <t xml:space="preserve">S194</t>
  </si>
  <si>
    <t xml:space="preserve">Automating the Deployment of Cyber Range with OpenStack</t>
  </si>
  <si>
    <t xml:space="preserve">Zhou, S.</t>
  </si>
  <si>
    <t xml:space="preserve">Computer Journal</t>
  </si>
  <si>
    <t xml:space="preserve">10.1093/comjnl/bxad024</t>
  </si>
  <si>
    <t xml:space="preserve">S195</t>
  </si>
  <si>
    <t xml:space="preserve">Comparative study of model-based and model-free reinforcement learning control performance in HVAC systems</t>
  </si>
  <si>
    <t xml:space="preserve">Gao, C.</t>
  </si>
  <si>
    <t xml:space="preserve">Journal of Building Engineering</t>
  </si>
  <si>
    <t xml:space="preserve">10.1016/j.jobe.2023.106852</t>
  </si>
  <si>
    <t xml:space="preserve">S196</t>
  </si>
  <si>
    <t xml:space="preserve">Knot So Simple: A Minimalistic Environment for Spatial Reasoning</t>
  </si>
  <si>
    <t xml:space="preserve">Chen, Z.</t>
  </si>
  <si>
    <t xml:space="preserve">S197</t>
  </si>
  <si>
    <t xml:space="preserve">Particle MPC for Uncertain and Learning-Based Control</t>
  </si>
  <si>
    <t xml:space="preserve">Dyro, R.</t>
  </si>
  <si>
    <t xml:space="preserve">10.1109/iros51168.2021.9635967</t>
  </si>
  <si>
    <t xml:space="preserve">S198</t>
  </si>
  <si>
    <t xml:space="preserve">Modeling Worlds in Text</t>
  </si>
  <si>
    <t xml:space="preserve">Ammanabrolu, P.</t>
  </si>
  <si>
    <t xml:space="preserve">S199</t>
  </si>
  <si>
    <t xml:space="preserve">Surge Routing: Event-informed Multiagent Reinforcement Learning for Autonomous Rideshare</t>
  </si>
  <si>
    <t xml:space="preserve">Garces, D.</t>
  </si>
  <si>
    <t xml:space="preserve">S200</t>
  </si>
  <si>
    <t xml:space="preserve">Consistent differences in a virtual world model of ape societies</t>
  </si>
  <si>
    <t xml:space="preserve">Wilson, B.J.</t>
  </si>
  <si>
    <t xml:space="preserve">10.1038/s41598-020-70955-6</t>
  </si>
  <si>
    <t xml:space="preserve">S201</t>
  </si>
  <si>
    <t xml:space="preserve">RPRP-SAP: A Robust and Precise ResNet Predictor for Steering Angle Prediction of Autonomous Vehicles</t>
  </si>
  <si>
    <t xml:space="preserve">Saleem, S.</t>
  </si>
  <si>
    <t xml:space="preserve">10.1109/access.2024.3362646</t>
  </si>
  <si>
    <t xml:space="preserve">S202</t>
  </si>
  <si>
    <t xml:space="preserve">Multiple perspectives of digital enterprise architecture</t>
  </si>
  <si>
    <t xml:space="preserve">ENASE 2019 - Proceedings of the 14th International Conference on Evaluation of Novel Approaches to Software Engineering</t>
  </si>
  <si>
    <t xml:space="preserve">10.5220/0007769105470554</t>
  </si>
  <si>
    <t xml:space="preserve">S203</t>
  </si>
  <si>
    <t xml:space="preserve">Sensor-algorithmic Virtuality: Machinic World-making on Mars</t>
  </si>
  <si>
    <t xml:space="preserve">Sprenger, F.</t>
  </si>
  <si>
    <t xml:space="preserve">Science Technology and Human Values</t>
  </si>
  <si>
    <t xml:space="preserve">10.1177/01622439231206782</t>
  </si>
  <si>
    <t xml:space="preserve">S204</t>
  </si>
  <si>
    <t xml:space="preserve">Curiosity-Driven Imagination: Discovering Plan Operators and Learning Associated Policies for Open-World Adaptation</t>
  </si>
  <si>
    <t xml:space="preserve">Lorang, P.</t>
  </si>
  <si>
    <t xml:space="preserve">10.1109/icra55743.2025.11128650</t>
  </si>
  <si>
    <t xml:space="preserve">S205</t>
  </si>
  <si>
    <t xml:space="preserve">Detection of removed objects in 3d meshes using up-to-date images for mixed-reality applications</t>
  </si>
  <si>
    <t xml:space="preserve">Roupin, O.</t>
  </si>
  <si>
    <t xml:space="preserve">Electronics (Switzerland)</t>
  </si>
  <si>
    <t xml:space="preserve">10.3390/electronics10040377</t>
  </si>
  <si>
    <t xml:space="preserve">S206</t>
  </si>
  <si>
    <t xml:space="preserve">What Drives Success in Physical Planning with Joint-Embedding Predictive World Models?</t>
  </si>
  <si>
    <t xml:space="preserve">Terver, B.</t>
  </si>
  <si>
    <t xml:space="preserve">S207</t>
  </si>
  <si>
    <t xml:space="preserve">TRANSFORMER-BASED WORLD MODELS ARE HAPPY WITH 100K INTERACTIONS</t>
  </si>
  <si>
    <t xml:space="preserve">Robine, J.</t>
  </si>
  <si>
    <t xml:space="preserve">S208</t>
  </si>
  <si>
    <t xml:space="preserve">The educational value of virtual ecologies in Red Dead Redemption 2</t>
  </si>
  <si>
    <t xml:space="preserve">Crowley, E.J.</t>
  </si>
  <si>
    <t xml:space="preserve">People and Nature</t>
  </si>
  <si>
    <t xml:space="preserve">10.1002/pan3.10242</t>
  </si>
  <si>
    <t xml:space="preserve">S209</t>
  </si>
  <si>
    <t xml:space="preserve">Measuring Lethal Force Performance in the Lab: The Effects of Simulator Realism and Participant Experience</t>
  </si>
  <si>
    <t xml:space="preserve">Blacker, K.J.</t>
  </si>
  <si>
    <t xml:space="preserve">Human Factors</t>
  </si>
  <si>
    <t xml:space="preserve">10.1177/0018720820916975</t>
  </si>
  <si>
    <t xml:space="preserve">S210</t>
  </si>
  <si>
    <t xml:space="preserve">VR reading UIs: Assessing text parameters for reading in VR</t>
  </si>
  <si>
    <t xml:space="preserve">Dingler, T.</t>
  </si>
  <si>
    <t xml:space="preserve">Conference on Human Factors in Computing Systems - Proceedings</t>
  </si>
  <si>
    <t xml:space="preserve">10.1145/3170427.3188695</t>
  </si>
  <si>
    <t xml:space="preserve">S211</t>
  </si>
  <si>
    <t xml:space="preserve">Learning Active Tactile Perception Through Belief-Space Control</t>
  </si>
  <si>
    <t xml:space="preserve">Tremblay, J.-F.</t>
  </si>
  <si>
    <t xml:space="preserve">10.1109/icra55743.2025.11127425</t>
  </si>
  <si>
    <t xml:space="preserve">S212</t>
  </si>
  <si>
    <t xml:space="preserve">Leveraging Phylogenetics in Software Product Families: The Case of Latent Content Generation in Video Games</t>
  </si>
  <si>
    <t xml:space="preserve">Chueca, J.</t>
  </si>
  <si>
    <t xml:space="preserve">10.1145/3646548.3672596</t>
  </si>
  <si>
    <t xml:space="preserve">S213</t>
  </si>
  <si>
    <t xml:space="preserve">Applying opponent and environment modelling in decentralised multi-agent reinforcement learning</t>
  </si>
  <si>
    <t xml:space="preserve">Chernyavskiy, A.</t>
  </si>
  <si>
    <t xml:space="preserve">Cognitive Systems Research</t>
  </si>
  <si>
    <t xml:space="preserve">10.1016/j.cogsys.2024.101306</t>
  </si>
  <si>
    <t xml:space="preserve">S214</t>
  </si>
  <si>
    <t xml:space="preserve">Non-player Character Smart in Virtual Learning Environment: Empowering Education Through Artificial Intelligence</t>
  </si>
  <si>
    <t xml:space="preserve">Campitiello, L.</t>
  </si>
  <si>
    <t xml:space="preserve">10.1007/978-3-031-57402-3_14</t>
  </si>
  <si>
    <t xml:space="preserve">S215</t>
  </si>
  <si>
    <t xml:space="preserve">DRAMA: MAMBA-ENABLED MODEL-BASED REINFORCEMENT LEARNING IS SAMPLE AND PARAMETER EFFICIENT</t>
  </si>
  <si>
    <t xml:space="preserve">Wang, W.</t>
  </si>
  <si>
    <t xml:space="preserve">S216</t>
  </si>
  <si>
    <t xml:space="preserve">Towards Model-Based Reinforcement Learning for Industry-Near Environments</t>
  </si>
  <si>
    <t xml:space="preserve">10.1007/978-3-030-34885-4_3</t>
  </si>
  <si>
    <t xml:space="preserve">S217</t>
  </si>
  <si>
    <t xml:space="preserve">A novel Z-function-based completely model-free reinforcement learning method to finite-horizon zero-sum game of nonlinear system</t>
  </si>
  <si>
    <t xml:space="preserve">Nonlinear Dynamics</t>
  </si>
  <si>
    <t xml:space="preserve">10.1007/s11071-021-07049-z</t>
  </si>
  <si>
    <t xml:space="preserve">S218</t>
  </si>
  <si>
    <t xml:space="preserve">Reinforcement Learning for Altitude Hold and Path Planning in a Quadcopter</t>
  </si>
  <si>
    <t xml:space="preserve">Karthik, P.B.</t>
  </si>
  <si>
    <t xml:space="preserve">2020 6th International Conference on Control, Automation and Robotics, ICCAR 2020</t>
  </si>
  <si>
    <t xml:space="preserve">10.1109/iccar49639.2020.9108104</t>
  </si>
  <si>
    <t xml:space="preserve">S219</t>
  </si>
  <si>
    <t xml:space="preserve">Hierarchical online energy management for off-road hybrid electric vehicles: integrating real-time planning with multi-agent expert knowledge</t>
  </si>
  <si>
    <t xml:space="preserve">Advanced Engineering Informatics</t>
  </si>
  <si>
    <t xml:space="preserve">10.1016/j.aei.2026.104547</t>
  </si>
  <si>
    <t xml:space="preserve">S220</t>
  </si>
  <si>
    <t xml:space="preserve">Robustness of linearly solvable Markov games employing inaccurate dynamics model</t>
  </si>
  <si>
    <t xml:space="preserve">Kinjo, K.</t>
  </si>
  <si>
    <t xml:space="preserve">Artificial Life and Robotics</t>
  </si>
  <si>
    <t xml:space="preserve">10.1007/s10015-017-0401-2</t>
  </si>
  <si>
    <t xml:space="preserve">S221</t>
  </si>
  <si>
    <t xml:space="preserve">Model-Free versus Model-Based Reinforcement Learning for Fixed-Wing UAV Attitude Control Under Varying Wind Conditions</t>
  </si>
  <si>
    <t xml:space="preserve">Olivares, D.</t>
  </si>
  <si>
    <t xml:space="preserve">Proceedings of the International Conference on Informatics in Control, Automation and Robotics</t>
  </si>
  <si>
    <t xml:space="preserve">10.5220/0012946600003822</t>
  </si>
  <si>
    <t xml:space="preserve">S222</t>
  </si>
  <si>
    <t xml:space="preserve">Dexterous robotic hands: enabling general-purpose manipulation</t>
  </si>
  <si>
    <t xml:space="preserve">Liang, S.</t>
  </si>
  <si>
    <t xml:space="preserve">10.11834/jig.260100</t>
  </si>
  <si>
    <t xml:space="preserve">S223</t>
  </si>
  <si>
    <t xml:space="preserve">Learning Latent and Changing Dynamics in Real Non-Stationary Environments</t>
  </si>
  <si>
    <t xml:space="preserve">IEEE Transactions on Knowledge and Data Engineering</t>
  </si>
  <si>
    <t xml:space="preserve">10.1109/tkde.2025.3535961</t>
  </si>
  <si>
    <t xml:space="preserve">S224</t>
  </si>
  <si>
    <t xml:space="preserve">Training AI to Simulate Reality Through Self-Constructed Representations</t>
  </si>
  <si>
    <t xml:space="preserve">Shahane, R.</t>
  </si>
  <si>
    <t xml:space="preserve">2025 International Conference on Information, Implementation, and Innovation in Technology, I2ITCON 2025</t>
  </si>
  <si>
    <t xml:space="preserve">10.1109/i2itcon65200.2025.11210506</t>
  </si>
  <si>
    <t xml:space="preserve">S225</t>
  </si>
  <si>
    <t xml:space="preserve">Sample Efficient Deep Reinforcement Learning With Online State Abstraction and Causal Transformer Model Prediction</t>
  </si>
  <si>
    <t xml:space="preserve">Lan, Y.</t>
  </si>
  <si>
    <t xml:space="preserve">IEEE Transactions on Neural Networks and Learning Systems</t>
  </si>
  <si>
    <t xml:space="preserve">10.1109/tnnls.2023.3296642</t>
  </si>
  <si>
    <t xml:space="preserve">S226</t>
  </si>
  <si>
    <t xml:space="preserve">TRANSFORMERS ARE SAMPLE-EFFICIENT WORLD MODELS</t>
  </si>
  <si>
    <t xml:space="preserve">S227</t>
  </si>
  <si>
    <t xml:space="preserve">Multidimensional virtual reality-MVR method: a new method of visualization of multidimensional worlds</t>
  </si>
  <si>
    <t xml:space="preserve">Jamróz, D.</t>
  </si>
  <si>
    <t xml:space="preserve">Visual Computer</t>
  </si>
  <si>
    <t xml:space="preserve">10.1007/s00371-019-01653-2</t>
  </si>
  <si>
    <t xml:space="preserve">S228</t>
  </si>
  <si>
    <t xml:space="preserve">ℵ-IPOMDP: Mitigating Deception in a Cognitive Hierarchy with Off-Policy Counterfactual Anomaly Detection</t>
  </si>
  <si>
    <t xml:space="preserve">Alon, N.</t>
  </si>
  <si>
    <t xml:space="preserve">Journal of Artificial Intelligence Research</t>
  </si>
  <si>
    <t xml:space="preserve">10.1613/jair.1.19204</t>
  </si>
  <si>
    <t xml:space="preserve">S229</t>
  </si>
  <si>
    <t xml:space="preserve">Offline Inverse Constrained Reinforcement Learning for Safe-Critical Decision Making in Healthcare</t>
  </si>
  <si>
    <t xml:space="preserve">Fang, N.</t>
  </si>
  <si>
    <t xml:space="preserve">IEEE Transactions on Artificial Intelligence</t>
  </si>
  <si>
    <t xml:space="preserve">10.1109/tai.2025.3610390</t>
  </si>
  <si>
    <t xml:space="preserve">S230</t>
  </si>
  <si>
    <t xml:space="preserve">The Matrix: Infinite-Horizon World Generation with Real-Time Moving Control</t>
  </si>
  <si>
    <t xml:space="preserve">Feng, R.</t>
  </si>
  <si>
    <t xml:space="preserve">S231</t>
  </si>
  <si>
    <t xml:space="preserve">Dynamic Neural Network Training for Self-Driving Cars in Generative Virtual Environments</t>
  </si>
  <si>
    <t xml:space="preserve">Pandey, R.</t>
  </si>
  <si>
    <t xml:space="preserve">2025 3rd International Conference on Communication, Security, and Artificial Intelligence, ICCSAI 2025</t>
  </si>
  <si>
    <t xml:space="preserve">10.1109/iccsai64074.2025.11064064</t>
  </si>
  <si>
    <t xml:space="preserve">S232</t>
  </si>
  <si>
    <t xml:space="preserve">Reinforcement Twinning: From digital twins to model-based reinforcement learning</t>
  </si>
  <si>
    <t xml:space="preserve">Schena, L.</t>
  </si>
  <si>
    <t xml:space="preserve">Journal of Computational Science</t>
  </si>
  <si>
    <t xml:space="preserve">10.1016/j.jocs.2024.102421</t>
  </si>
  <si>
    <t xml:space="preserve">S233</t>
  </si>
  <si>
    <t xml:space="preserve">Grounded Answers for Multi-agent Decision-making Problem through Generative World Model</t>
  </si>
  <si>
    <t xml:space="preserve">S234</t>
  </si>
  <si>
    <t xml:space="preserve">Inductive biases in theory-based reinforcement learning</t>
  </si>
  <si>
    <t xml:space="preserve">Pouncy, T.</t>
  </si>
  <si>
    <t xml:space="preserve">Cognitive Psychology</t>
  </si>
  <si>
    <t xml:space="preserve">10.1016/j.cogpsych.2022.101509</t>
  </si>
  <si>
    <t xml:space="preserve">S235</t>
  </si>
  <si>
    <t xml:space="preserve">An Open-World Novelty Generator for Authoring Reinforcement Learning Environment of Standardized Toolkits</t>
  </si>
  <si>
    <t xml:space="preserve">Lee, S.</t>
  </si>
  <si>
    <t xml:space="preserve">10.1007/978-3-030-80253-0_3</t>
  </si>
  <si>
    <t xml:space="preserve">S236</t>
  </si>
  <si>
    <t xml:space="preserve">Algorithm-Hardware Co-Design for Efficient Vector Symbolic Autonomous World Modeling</t>
  </si>
  <si>
    <t xml:space="preserve">Ding, A.</t>
  </si>
  <si>
    <t xml:space="preserve">Proceedings of the International Symposium on Low Power Electronics and Design</t>
  </si>
  <si>
    <t xml:space="preserve">10.1145/3816440.3818599</t>
  </si>
  <si>
    <t xml:space="preserve">S237</t>
  </si>
  <si>
    <t xml:space="preserve">Finding and Certifying (Near-)Optimal Strategies in Black-Box Extensive-Form Games</t>
  </si>
  <si>
    <t xml:space="preserve">Zhang, B.H.</t>
  </si>
  <si>
    <t xml:space="preserve">35th AAAI Conference on Artificial Intelligence, AAAI 2021</t>
  </si>
  <si>
    <t xml:space="preserve">10.1609/aaai.v35i6.16724</t>
  </si>
  <si>
    <t xml:space="preserve">S238</t>
  </si>
  <si>
    <t xml:space="preserve">Evolution of Enterprise Architecture for Digital Transformation</t>
  </si>
  <si>
    <t xml:space="preserve">Proceedings - IEEE International Enterprise Distributed Object Computing Workshop, EDOCW</t>
  </si>
  <si>
    <t xml:space="preserve">10.1109/edocw.2018.00023</t>
  </si>
  <si>
    <t xml:space="preserve">S239</t>
  </si>
  <si>
    <t xml:space="preserve">Dyn-O: Building Structured World Models with Object-Centric Representations</t>
  </si>
  <si>
    <t xml:space="preserve">S241</t>
  </si>
  <si>
    <t xml:space="preserve">Conceptual framework for developing cyber security serious games</t>
  </si>
  <si>
    <t xml:space="preserve">Katsantonis, N.M.</t>
  </si>
  <si>
    <t xml:space="preserve">IEEE Global Engineering Education Conference, EDUCON</t>
  </si>
  <si>
    <t xml:space="preserve">10.1109/educon.2019.8725061</t>
  </si>
  <si>
    <t xml:space="preserve">S242</t>
  </si>
  <si>
    <t xml:space="preserve">LEARNING TO ACT WITHOUT ACTIONS</t>
  </si>
  <si>
    <t xml:space="preserve">Schmidt, D.</t>
  </si>
  <si>
    <t xml:space="preserve">S243</t>
  </si>
  <si>
    <t xml:space="preserve">Hieros: Hierarchical Imagination on Structured State Space Sequence World Models</t>
  </si>
  <si>
    <t xml:space="preserve">Mattes, P.</t>
  </si>
  <si>
    <t xml:space="preserve">S244</t>
  </si>
  <si>
    <t xml:space="preserve">Learning to Play Atari in a World of Tokens</t>
  </si>
  <si>
    <t xml:space="preserve">Agarwal, P.</t>
  </si>
  <si>
    <t xml:space="preserve">S245</t>
  </si>
  <si>
    <t xml:space="preserve">Towards safe reinforcement-learning in industrial grid-warehousing</t>
  </si>
  <si>
    <t xml:space="preserve">10.1016/j.ins.2020.06.010</t>
  </si>
  <si>
    <t xml:space="preserve">S246</t>
  </si>
  <si>
    <t xml:space="preserve">Synthesized trust learning from limited human feedback for human-load-reduced multi-robot deployments</t>
  </si>
  <si>
    <t xml:space="preserve">Pang, Y.</t>
  </si>
  <si>
    <t xml:space="preserve">2021 30th IEEE International Conference on Robot and Human Interactive Communication, RO-MAN 2021</t>
  </si>
  <si>
    <t xml:space="preserve">10.1109/ro-man50785.2021.9515509</t>
  </si>
  <si>
    <t xml:space="preserve">S247</t>
  </si>
  <si>
    <t xml:space="preserve">Enterprise composition architecture for micro-granular digital services and products</t>
  </si>
  <si>
    <t xml:space="preserve">Proceedings of the 27th International Conference on Information Systems Development: Designing Digitalization, ISD 2018</t>
  </si>
  <si>
    <t xml:space="preserve">S248</t>
  </si>
  <si>
    <t xml:space="preserve">Abstract Meaning Representation for Grounded Human-Robot Communication</t>
  </si>
  <si>
    <t xml:space="preserve">Bonial, C.</t>
  </si>
  <si>
    <t xml:space="preserve">DMR 2023 - 4th International Workshop on Designing Meaning Representations, Proceedings of the Workshop</t>
  </si>
  <si>
    <t xml:space="preserve">S249</t>
  </si>
  <si>
    <t xml:space="preserve">Between world models and model worlds: on generality, agency, and worlding in machine learning</t>
  </si>
  <si>
    <t xml:space="preserve">Mitrokhov, K.</t>
  </si>
  <si>
    <t xml:space="preserve">AI and Society</t>
  </si>
  <si>
    <t xml:space="preserve">10.1007/s00146-024-02086-9</t>
  </si>
  <si>
    <t xml:space="preserve">S250</t>
  </si>
  <si>
    <t xml:space="preserve">Simulation of Evolutionary Game Decision Model Based on Reinforcement Learning Algorithm</t>
  </si>
  <si>
    <t xml:space="preserve">Wang, K.</t>
  </si>
  <si>
    <t xml:space="preserve">Proceedings - 2023 International Conference on Telecommunications, Electronics and Informatics, ICTEI 2023</t>
  </si>
  <si>
    <t xml:space="preserve">10.1109/ictei60496.2023.00156</t>
  </si>
  <si>
    <t xml:space="preserve">S251</t>
  </si>
  <si>
    <t xml:space="preserve">Enhancing World Models with Specialized Prediction Networks for Reinforcement Learning</t>
  </si>
  <si>
    <t xml:space="preserve">Mellado-Ibanez, A.</t>
  </si>
  <si>
    <t xml:space="preserve">10.1007/978-3-032-08462-0_20</t>
  </si>
  <si>
    <t xml:space="preserve">S252</t>
  </si>
  <si>
    <t xml:space="preserve">World Model Anomaly Detection with a Latent Linear Prior</t>
  </si>
  <si>
    <t xml:space="preserve">Ikram, Z.</t>
  </si>
  <si>
    <t xml:space="preserve">S253</t>
  </si>
  <si>
    <t xml:space="preserve">Damage Optimization in Video Games: A Player-Driven Co-Creative Approach</t>
  </si>
  <si>
    <t xml:space="preserve">Pfau, J.</t>
  </si>
  <si>
    <t xml:space="preserve">10.1145/3613904.3642643</t>
  </si>
  <si>
    <t xml:space="preserve">S254</t>
  </si>
  <si>
    <t xml:space="preserve">Perceiving the Knowledge Boundary: Uncertainty-Guided Exploration and Imagination for World Models</t>
  </si>
  <si>
    <t xml:space="preserve">10.1609/aaai.v40i28.39576</t>
  </si>
  <si>
    <t xml:space="preserve">S255</t>
  </si>
  <si>
    <t xml:space="preserve">Agent-Based Autonomous Robotic System Using Deep Reinforcement and Transfer Learning</t>
  </si>
  <si>
    <t xml:space="preserve">Kyryk, V.</t>
  </si>
  <si>
    <t xml:space="preserve">Lecture Notes in Electrical Engineering</t>
  </si>
  <si>
    <t xml:space="preserve">10.1007/978-3-031-61221-3_23</t>
  </si>
  <si>
    <t xml:space="preserve">S256</t>
  </si>
  <si>
    <t xml:space="preserve">Equifinality of Reflection in the Limit World Model Tasks</t>
  </si>
  <si>
    <t xml:space="preserve">Markova, G.M.</t>
  </si>
  <si>
    <t xml:space="preserve">Studies in Computational Intelligence</t>
  </si>
  <si>
    <t xml:space="preserve">10.1007/978-3-032-07690-8_44</t>
  </si>
  <si>
    <t xml:space="preserve">S257</t>
  </si>
  <si>
    <t xml:space="preserve">Predicting Other's Minds Using Model-based Reinforcement Learning</t>
  </si>
  <si>
    <t xml:space="preserve">Joo, H.</t>
  </si>
  <si>
    <t xml:space="preserve">2022 Joint 12th International Conference on Soft Computing and Intelligent Systems and 23rd International Symposium on Advanced Intelligent Systems, SCIS and ISIS 2022</t>
  </si>
  <si>
    <t xml:space="preserve">10.1109/scisisis55246.2022.10001864</t>
  </si>
  <si>
    <t xml:space="preserve">S258</t>
  </si>
  <si>
    <t xml:space="preserve">Embodied GPT-5.1: Evidence of a World Model?</t>
  </si>
  <si>
    <t xml:space="preserve">Spinelli, R.</t>
  </si>
  <si>
    <t xml:space="preserve">Proceedings - 2026 Brazilian Conference on Robotics, CROS 2026</t>
  </si>
  <si>
    <t xml:space="preserve">10.1109/cros69211.2026.11565684</t>
  </si>
  <si>
    <t xml:space="preserve">S259</t>
  </si>
  <si>
    <t xml:space="preserve">Delta schema network in model-based reinforcement learning</t>
  </si>
  <si>
    <t xml:space="preserve">Gorodetskiy, A.</t>
  </si>
  <si>
    <t xml:space="preserve">10.1007/978-3-030-52152-3_18</t>
  </si>
  <si>
    <t xml:space="preserve">S260</t>
  </si>
  <si>
    <t xml:space="preserve">Improving Model-Based Reinforcement Learning with Internal State Representations through Self-Supervision</t>
  </si>
  <si>
    <t xml:space="preserve">Scholz, J.</t>
  </si>
  <si>
    <t xml:space="preserve">10.1109/ijcnn52387.2021.9534023</t>
  </si>
  <si>
    <t xml:space="preserve">S261</t>
  </si>
  <si>
    <t xml:space="preserve">EDELINE: Enhancing Memory in Diffusion-based World Models via Linear-Time Sequence Modeling</t>
  </si>
  <si>
    <t xml:space="preserve">Lee, J.-H.</t>
  </si>
  <si>
    <t xml:space="preserve">S262</t>
  </si>
  <si>
    <t xml:space="preserve">Balanced Sampling and Reusing Imaginary Data for World Models in Reinforcement Learning</t>
  </si>
  <si>
    <t xml:space="preserve">10.1109/tai.2025.3592174</t>
  </si>
  <si>
    <t xml:space="preserve">S263</t>
  </si>
  <si>
    <t xml:space="preserve">EGOSIM: EGOCENTRIC EXPLORATION IN VIRTUAL WORLDS WITH MULTI-MODAL CONDITIONING</t>
  </si>
  <si>
    <t xml:space="preserve">Yu, W.</t>
  </si>
  <si>
    <t xml:space="preserve">S264</t>
  </si>
  <si>
    <t xml:space="preserve">Approximating Energy Market Clearing and Bidding With Model-Based Reinforcement Learning</t>
  </si>
  <si>
    <t xml:space="preserve">Wolgast, T.</t>
  </si>
  <si>
    <t xml:space="preserve">10.1109/access.2024.3472480</t>
  </si>
  <si>
    <t xml:space="preserve">S265</t>
  </si>
  <si>
    <t xml:space="preserve">NavDreams: Towards Camera-Only RL Navigation Among Humans</t>
  </si>
  <si>
    <t xml:space="preserve">Dugas, D.</t>
  </si>
  <si>
    <t xml:space="preserve">10.1109/iros47612.2022.9982045</t>
  </si>
  <si>
    <t xml:space="preserve">S266</t>
  </si>
  <si>
    <t xml:space="preserve">The acceptance and use of virtual reality on learning attitude among junior boy scouts in Kuala Lumpur, Malaysia</t>
  </si>
  <si>
    <t xml:space="preserve">Rahman, A.A.</t>
  </si>
  <si>
    <t xml:space="preserve">SEARCH Journal of Media and Communication Research</t>
  </si>
  <si>
    <t xml:space="preserve">10.58946/search-specialissue.icoms2023.p9</t>
  </si>
  <si>
    <t xml:space="preserve">S267</t>
  </si>
  <si>
    <t xml:space="preserve">Bridging the reality gap: A benchmark for physical reasoning in general world models with various physical phenomena beyond mechanics</t>
  </si>
  <si>
    <t xml:space="preserve">Zhao, P.</t>
  </si>
  <si>
    <t xml:space="preserve">Expert Systems with Applications</t>
  </si>
  <si>
    <t xml:space="preserve">10.1016/j.eswa.2025.126548</t>
  </si>
  <si>
    <t xml:space="preserve">S268</t>
  </si>
  <si>
    <t xml:space="preserve">Symmetry-informed reinforcement learning and its application to low-level attitude control of quadrotors</t>
  </si>
  <si>
    <t xml:space="preserve">Huang, J.</t>
  </si>
  <si>
    <t xml:space="preserve">10.1109/tai.2023.3249683</t>
  </si>
  <si>
    <t xml:space="preserve">S269</t>
  </si>
  <si>
    <t xml:space="preserve">Dynamical latent state computation in the male macaque posterior parietal cortex</t>
  </si>
  <si>
    <t xml:space="preserve">Lakshminarasimhan, K.J.</t>
  </si>
  <si>
    <t xml:space="preserve">Nature Communications</t>
  </si>
  <si>
    <t xml:space="preserve">10.1038/s41467-023-37400-4</t>
  </si>
  <si>
    <t xml:space="preserve">S270</t>
  </si>
  <si>
    <t xml:space="preserve">Meraki: Encouraging Language Learning in Real-World Simulations Through AI Para-Social Relationship Building</t>
  </si>
  <si>
    <t xml:space="preserve">Namburi, S.</t>
  </si>
  <si>
    <t xml:space="preserve">Proceedings of the European Conference on Games-based Learning</t>
  </si>
  <si>
    <t xml:space="preserve">S271</t>
  </si>
  <si>
    <t xml:space="preserve">Using virtual worlds to investigate perceived affordances on learned navigation and objective location performance</t>
  </si>
  <si>
    <t xml:space="preserve">Haggerty, K.C.</t>
  </si>
  <si>
    <t xml:space="preserve">Proceedings of the Association for Information Science and Technology</t>
  </si>
  <si>
    <t xml:space="preserve">10.1002/pra2.2018.14505501131</t>
  </si>
  <si>
    <t xml:space="preserve">S272</t>
  </si>
  <si>
    <t xml:space="preserve">Probing for consciousness in machines</t>
  </si>
  <si>
    <t xml:space="preserve">Immertreu, M.</t>
  </si>
  <si>
    <t xml:space="preserve">Frontiers in Artificial Intelligence</t>
  </si>
  <si>
    <t xml:space="preserve">10.3389/frai.2025.1610225</t>
  </si>
  <si>
    <t xml:space="preserve">S273</t>
  </si>
  <si>
    <t xml:space="preserve">A Model-Based Solution to the Offline Multi-Agent Reinforcement Learning Coordination Problem</t>
  </si>
  <si>
    <t xml:space="preserve">Barde, P.</t>
  </si>
  <si>
    <t xml:space="preserve">S274</t>
  </si>
  <si>
    <t xml:space="preserve">Incremental Few-Shot Adaptation for Non-Prehensile Object Manipulation Using Parallelizable Physics Simulators</t>
  </si>
  <si>
    <t xml:space="preserve">Baumeister, F.</t>
  </si>
  <si>
    <t xml:space="preserve">10.1109/icra55743.2025.11128222</t>
  </si>
  <si>
    <t xml:space="preserve">S275</t>
  </si>
  <si>
    <t xml:space="preserve">Invariant-Based World Models for Robust Robotic Systems Demonstrated on an Autonomous Football Table</t>
  </si>
  <si>
    <t xml:space="preserve">Senden, J.</t>
  </si>
  <si>
    <t xml:space="preserve">IEEE Robotics and Automation Letters</t>
  </si>
  <si>
    <t xml:space="preserve">10.1109/lra.2022.3185767</t>
  </si>
  <si>
    <t xml:space="preserve">S276</t>
  </si>
  <si>
    <t xml:space="preserve">Toward stable world models: Measuring and addressing world instability in generative environments</t>
  </si>
  <si>
    <t xml:space="preserve">Kwon, S.</t>
  </si>
  <si>
    <t xml:space="preserve">Pattern Recognition</t>
  </si>
  <si>
    <t xml:space="preserve">10.1016/j.patcog.2026.113351</t>
  </si>
  <si>
    <t xml:space="preserve">S277</t>
  </si>
  <si>
    <t xml:space="preserve">Towards bridging ontological and closed-world modelling with synchronised EMF views of RDF models</t>
  </si>
  <si>
    <t xml:space="preserve">Reynolds, O.J.</t>
  </si>
  <si>
    <t xml:space="preserve">Proceedings - 2025 ACM/IEEE 28th International Conference on Model Driven Engineering Languages and Systems Companion, MODELS-C 2025</t>
  </si>
  <si>
    <t xml:space="preserve">10.1109/models-c68889.2025.00113</t>
  </si>
  <si>
    <t xml:space="preserve">S278</t>
  </si>
  <si>
    <t xml:space="preserve">Global Lighting Based on Functionally Defined Surfaces and Voxels in Real Time Using a GPU</t>
  </si>
  <si>
    <t xml:space="preserve">Romanyuk, O.</t>
  </si>
  <si>
    <t xml:space="preserve">Proceedings - International Conference on Advanced Computer Information Technologies, ACIT</t>
  </si>
  <si>
    <t xml:space="preserve">10.1109/acit52158.2021.9548465</t>
  </si>
  <si>
    <t xml:space="preserve">S279</t>
  </si>
  <si>
    <t xml:space="preserve">Counterfactual experience augmented off-policy reinforcement learning</t>
  </si>
  <si>
    <t xml:space="preserve">Neurocomputing</t>
  </si>
  <si>
    <t xml:space="preserve">10.1016/j.neucom.2025.130017</t>
  </si>
  <si>
    <t xml:space="preserve">S280</t>
  </si>
  <si>
    <t xml:space="preserve">SAGE: Generating Symbolic Goals for Myopic Models in Deep Reinforcement Learning</t>
  </si>
  <si>
    <t xml:space="preserve">Chester, A.</t>
  </si>
  <si>
    <t xml:space="preserve">10.1007/978-981-99-8391-9_22</t>
  </si>
  <si>
    <t xml:space="preserve">S281</t>
  </si>
  <si>
    <t xml:space="preserve">Model-Based Reinforcement Learning for Offline Zero-Sum Markov Games</t>
  </si>
  <si>
    <t xml:space="preserve">Yan, Y.</t>
  </si>
  <si>
    <t xml:space="preserve">Operations Research</t>
  </si>
  <si>
    <t xml:space="preserve">10.1287/opre.2022.0342</t>
  </si>
  <si>
    <t xml:space="preserve">S282</t>
  </si>
  <si>
    <t xml:space="preserve">Model-Based RL for Mean-Field Games is not Statistically Harder than Single-Agent RL</t>
  </si>
  <si>
    <t xml:space="preserve">S283</t>
  </si>
  <si>
    <t xml:space="preserve">Improving Requirement Traceability by Leveraging Video Game Simulations in Search-Based Software Engineering</t>
  </si>
  <si>
    <t xml:space="preserve">Verón, J.</t>
  </si>
  <si>
    <t xml:space="preserve">10.1007/978-3-031-61057-8_21</t>
  </si>
  <si>
    <t xml:space="preserve">S284</t>
  </si>
  <si>
    <t xml:space="preserve">A Digital Twin Approach for Crowd Flow Modeling on Railway Station Platforms</t>
  </si>
  <si>
    <t xml:space="preserve">Yasuda, Y.</t>
  </si>
  <si>
    <t xml:space="preserve">Proceedings - 2025 IEEE International Conference on Smart Computing, SMARTCOMP 2025</t>
  </si>
  <si>
    <t xml:space="preserve">10.1109/smartcomp65954.2025.00069</t>
  </si>
  <si>
    <t xml:space="preserve">S285</t>
  </si>
  <si>
    <t xml:space="preserve">Overcoming reinforcement learning limits with inductive logic programming</t>
  </si>
  <si>
    <t xml:space="preserve">Rocha, F.M.</t>
  </si>
  <si>
    <t xml:space="preserve">Advances in Intelligent Systems and Computing</t>
  </si>
  <si>
    <t xml:space="preserve">10.1007/978-3-030-45691-7_38</t>
  </si>
  <si>
    <t xml:space="preserve">S286</t>
  </si>
  <si>
    <t xml:space="preserve">Real-Time Handgun Detection Using YOLO and a Custom Videogame Dataset</t>
  </si>
  <si>
    <t xml:space="preserve">Bazan, D.</t>
  </si>
  <si>
    <t xml:space="preserve">Lecture Notes in Business Information Processing</t>
  </si>
  <si>
    <t xml:space="preserve">10.1007/978-3-032-08570-2_11</t>
  </si>
  <si>
    <t xml:space="preserve">S287</t>
  </si>
  <si>
    <t xml:space="preserve">Abstract state transition graphs for model-based reinforcement learning</t>
  </si>
  <si>
    <t xml:space="preserve">Ribeiro Furtado De Mendonca, M.</t>
  </si>
  <si>
    <t xml:space="preserve">Proceedings - 2018 Brazilian Conference on Intelligent Systems, BRACIS 2018</t>
  </si>
  <si>
    <t xml:space="preserve">10.1109/bracis.2018.00028</t>
  </si>
  <si>
    <t xml:space="preserve">S288</t>
  </si>
  <si>
    <t xml:space="preserve">Personalized Emotion-Adaptive Robot Control Strategy for Human-Robot Collaboration in Construction</t>
  </si>
  <si>
    <t xml:space="preserve">Back, F.</t>
  </si>
  <si>
    <t xml:space="preserve">Proceedings of the International Symposium on Automation and Robotics in Construction</t>
  </si>
  <si>
    <t xml:space="preserve">10.22260/isarc2025/0055</t>
  </si>
  <si>
    <t xml:space="preserve">S289</t>
  </si>
  <si>
    <t xml:space="preserve">Intelligent Radar Anti-Jamming Strategy with High Sample Efficiency Based on MBRL</t>
  </si>
  <si>
    <t xml:space="preserve">2024 7th International Conference on Information Communication and Signal Processing, ICICSP 2024</t>
  </si>
  <si>
    <t xml:space="preserve">10.1109/icicsp62589.2024.10809144</t>
  </si>
  <si>
    <t xml:space="preserve">S290</t>
  </si>
  <si>
    <t xml:space="preserve">Simulated Forest Environment and Robot Control Framework for Integration with Cover Detection Algorithms</t>
  </si>
  <si>
    <t xml:space="preserve">Spector, A.</t>
  </si>
  <si>
    <t xml:space="preserve">Proceedings - 2022 IEEE/ACM 9th International Conference on Big Data Computing, Applications and Technologies, BDCAT 2022</t>
  </si>
  <si>
    <t xml:space="preserve">10.1109/bdcat56447.2022.00046</t>
  </si>
  <si>
    <t xml:space="preserve">S291</t>
  </si>
  <si>
    <t xml:space="preserve">Improving Token-Based World Models with Parallel Observation Prediction</t>
  </si>
  <si>
    <t xml:space="preserve">Cohen, L.</t>
  </si>
  <si>
    <t xml:space="preserve">S292</t>
  </si>
  <si>
    <t xml:space="preserve">Model-Based Multi-Agent RL in Zero-Sum Markov Games with Near-Optimal Sample Complexity</t>
  </si>
  <si>
    <t xml:space="preserve">S293</t>
  </si>
  <si>
    <t xml:space="preserve">Learning Neuro-Symbolic World Models with Conversational Proprioception</t>
  </si>
  <si>
    <t xml:space="preserve">Agravante, D.J.</t>
  </si>
  <si>
    <t xml:space="preserve">10.18653/v1/2023.acl-short.57</t>
  </si>
  <si>
    <t xml:space="preserve">S294</t>
  </si>
  <si>
    <t xml:space="preserve">DYNAMIC UPDATE-TO-DATA RATIO: MINIMIZING WORLD MODEL OVERFITTING</t>
  </si>
  <si>
    <t xml:space="preserve">Dorka, N.</t>
  </si>
  <si>
    <t xml:space="preserve">S295</t>
  </si>
  <si>
    <t xml:space="preserve">Is modeling stents still an important issue?</t>
  </si>
  <si>
    <t xml:space="preserve">Migliavacca, F.</t>
  </si>
  <si>
    <t xml:space="preserve">Procedia Structural Integrity</t>
  </si>
  <si>
    <t xml:space="preserve">10.1016/j.prostr.2019.07.009</t>
  </si>
  <si>
    <t xml:space="preserve">S296</t>
  </si>
  <si>
    <t xml:space="preserve">Spatial-Temporal Aware Visuomotor Diffusion Policy Learning</t>
  </si>
  <si>
    <t xml:space="preserve">10.1109/iccv51701.2025.00669</t>
  </si>
  <si>
    <t xml:space="preserve">S297</t>
  </si>
  <si>
    <t xml:space="preserve">Design of Fully Autonomous Vehicles using Deep Learning in an Open World Simulation</t>
  </si>
  <si>
    <t xml:space="preserve">Patil, J.</t>
  </si>
  <si>
    <t xml:space="preserve">2023 4th International Conference for Emerging Technology, INCET 2023</t>
  </si>
  <si>
    <t xml:space="preserve">10.1109/incet57972.2023.10169908</t>
  </si>
  <si>
    <t xml:space="preserve">S298</t>
  </si>
  <si>
    <t xml:space="preserve">RLVR-World: Training World Models with Reinforcement Learning</t>
  </si>
  <si>
    <t xml:space="preserve">S299</t>
  </si>
  <si>
    <t xml:space="preserve">PoE-World: Compositional World Modeling with Products of Programmatic Experts</t>
  </si>
  <si>
    <t xml:space="preserve">Piriyakulkij, W.T.</t>
  </si>
  <si>
    <t xml:space="preserve">S300</t>
  </si>
  <si>
    <t xml:space="preserve">Decision-oriented composition architecture for digital transformation</t>
  </si>
  <si>
    <t xml:space="preserve">Smart Innovation, Systems and Technologies</t>
  </si>
  <si>
    <t xml:space="preserve">10.1007/978-3-319-92028-3_11</t>
  </si>
  <si>
    <t xml:space="preserve">S301</t>
  </si>
  <si>
    <t xml:space="preserve">ReSpAct: Harmonizing Reasoning, Speaking, and Acting Towards Building Large Language Model-Based Conversational AI Agents</t>
  </si>
  <si>
    <t xml:space="preserve">Dongre, V.</t>
  </si>
  <si>
    <t xml:space="preserve">Proceedings of the 15th International Workshop on Spoken Dialogue Systems Technology</t>
  </si>
  <si>
    <t xml:space="preserve">S302</t>
  </si>
  <si>
    <t xml:space="preserve">LEARNING INTERACTIVE REAL-WORLD SIMULATORS</t>
  </si>
  <si>
    <t xml:space="preserve">Yang, S.</t>
  </si>
  <si>
    <t xml:space="preserve">S303</t>
  </si>
  <si>
    <t xml:space="preserve">RDF∗ graph database as interlingua for the textworld challenge</t>
  </si>
  <si>
    <t xml:space="preserve">Barzdins, G.</t>
  </si>
  <si>
    <t xml:space="preserve">IEEE Conference on Computatonal Intelligence and Games, CIG</t>
  </si>
  <si>
    <t xml:space="preserve">10.1109/cig.2019.8848012</t>
  </si>
  <si>
    <t xml:space="preserve">S304</t>
  </si>
  <si>
    <t xml:space="preserve">ISlands/SEOM: The creating of extended existence through AR and world simulation</t>
  </si>
  <si>
    <t xml:space="preserve">Yen, S.-L.</t>
  </si>
  <si>
    <t xml:space="preserve">SIGGRAPH Asia 2018 Virtual and Augmented Reality, SA 2018</t>
  </si>
  <si>
    <t xml:space="preserve">10.1145/3275495.3275497</t>
  </si>
  <si>
    <t xml:space="preserve">S305</t>
  </si>
  <si>
    <t xml:space="preserve">Robust Decision Making for Autonomous Driving using Deep Reinforcement Learning with Bayesian Particle Filter-based World Model</t>
  </si>
  <si>
    <t xml:space="preserve">Ji, Y.</t>
  </si>
  <si>
    <t xml:space="preserve">Proceedings of the 2024 8th CAA International Conference on Vehicular Control and Intelligence, CVCI 2024</t>
  </si>
  <si>
    <t xml:space="preserve">10.1109/cvci63518.2024.10830258</t>
  </si>
  <si>
    <t xml:space="preserve">S306</t>
  </si>
  <si>
    <t xml:space="preserve">PMA-DRL: A parallel model-augmented framework for deep reinforcement learning algorithms</t>
  </si>
  <si>
    <t xml:space="preserve">Luo, X.</t>
  </si>
  <si>
    <t xml:space="preserve">10.1016/j.neucom.2020.04.091</t>
  </si>
  <si>
    <t xml:space="preserve">S307</t>
  </si>
  <si>
    <t xml:space="preserve">Decentralized Transformers with Centralized Aggregation are Sample-Efficient Multi-Agent World Models</t>
  </si>
  <si>
    <t xml:space="preserve">Zhang, Y.</t>
  </si>
  <si>
    <t xml:space="preserve">S308</t>
  </si>
  <si>
    <t xml:space="preserve">Scaling Laws for Pre-training Agents and World Models</t>
  </si>
  <si>
    <t xml:space="preserve">Pearce, T.</t>
  </si>
  <si>
    <t xml:space="preserve">S309</t>
  </si>
  <si>
    <t xml:space="preserve">Reinforcement learning in building controls: A comparative study of algorithms considering model availability and policy representation</t>
  </si>
  <si>
    <t xml:space="preserve">10.1016/j.jobe.2024.109497</t>
  </si>
  <si>
    <t xml:space="preserve">S310</t>
  </si>
  <si>
    <t xml:space="preserve">Two-Player Multiagent Graphical Games with Reinforcement Learning</t>
  </si>
  <si>
    <t xml:space="preserve">Lian, B.</t>
  </si>
  <si>
    <t xml:space="preserve">2024 IEEE 7th International Conference on Industrial Cyber-Physical Systems, ICPS 2024</t>
  </si>
  <si>
    <t xml:space="preserve">10.1109/icps59941.2024.10640049</t>
  </si>
  <si>
    <t xml:space="preserve">S311</t>
  </si>
  <si>
    <t xml:space="preserve">Improving Model-Based Reinforcement Learning by Converging to Flatter Minima</t>
  </si>
  <si>
    <t xml:space="preserve">Ramasubramanian, S.</t>
  </si>
  <si>
    <t xml:space="preserve">S312</t>
  </si>
  <si>
    <t xml:space="preserve">SNOW: Spatio-Temporal Scene Understanding with World Knowledge for Open-World Embodied Reasoning</t>
  </si>
  <si>
    <t xml:space="preserve">Sohn, T.S.</t>
  </si>
  <si>
    <t xml:space="preserve">10.1007/978-3-032-37044-0_16</t>
  </si>
  <si>
    <t xml:space="preserve">S313</t>
  </si>
  <si>
    <t xml:space="preserve">Spectral ruins: Empathy with inanimate material movements</t>
  </si>
  <si>
    <t xml:space="preserve">Tursack, H.</t>
  </si>
  <si>
    <t xml:space="preserve">International Journal of Architectural Computing</t>
  </si>
  <si>
    <t xml:space="preserve">10.1177/14780771241286616</t>
  </si>
  <si>
    <t xml:space="preserve">S314</t>
  </si>
  <si>
    <t xml:space="preserve">Towards Automatic Evaluation of Dialog Systems: A Model-Free Off-Policy Evaluation Approach</t>
  </si>
  <si>
    <t xml:space="preserve">Jiang, H.</t>
  </si>
  <si>
    <t xml:space="preserve">EMNLP 2021 - 2021 Conference on Empirical Methods in Natural Language Processing, Proceedings</t>
  </si>
  <si>
    <t xml:space="preserve">10.18653/v1/2021.emnlp-main.589</t>
  </si>
  <si>
    <t xml:space="preserve">S315</t>
  </si>
  <si>
    <t xml:space="preserve">Impact of an Endovascular Simulator and Video Games on Medical Student Procedural Outcomes and Interventional Radiology Interest</t>
  </si>
  <si>
    <t xml:space="preserve">Dawod, M.</t>
  </si>
  <si>
    <t xml:space="preserve">Academic Radiology</t>
  </si>
  <si>
    <t xml:space="preserve">10.1016/j.acra.2025.10.045</t>
  </si>
  <si>
    <t xml:space="preserve">S316</t>
  </si>
  <si>
    <t xml:space="preserve">Application of WebAssembly Technology in High-Performance Web Applications</t>
  </si>
  <si>
    <t xml:space="preserve">Tufegdžić, J.</t>
  </si>
  <si>
    <t xml:space="preserve">Proceedings - 2024 11th International Conference on Electrical, Electronic and Computing Engineering, IcETRAN 2024</t>
  </si>
  <si>
    <t xml:space="preserve">10.1109/icetran62308.2024.10645198</t>
  </si>
  <si>
    <t xml:space="preserve">S317</t>
  </si>
  <si>
    <t xml:space="preserve">Video-Game Retrospective Effect: How Playing Remakes Alters Experience Evaluations for Original Works</t>
  </si>
  <si>
    <t xml:space="preserve">Yokosaka, T.</t>
  </si>
  <si>
    <t xml:space="preserve">CHI PLAY Companion 2025 - Companion Proceedings of the Annual Symposium on Computer-Human Interaction in Play</t>
  </si>
  <si>
    <t xml:space="preserve">10.1145/3744736.3749344</t>
  </si>
  <si>
    <t xml:space="preserve">S318</t>
  </si>
  <si>
    <t xml:space="preserve">Medical Healthcare Digital Twin Reference Platform</t>
  </si>
  <si>
    <t xml:space="preserve">Lee, K.Y.</t>
  </si>
  <si>
    <t xml:space="preserve">International Conference on Ubiquitous and Future Networks, ICUFN</t>
  </si>
  <si>
    <t xml:space="preserve">10.1109/icufn61752.2024.10624966</t>
  </si>
  <si>
    <t xml:space="preserve">S319</t>
  </si>
  <si>
    <t xml:space="preserve">Executable World Models for ARC-AGI-3 in the Era of Coding Agents</t>
  </si>
  <si>
    <t xml:space="preserve">Rodionov, S.</t>
  </si>
  <si>
    <t xml:space="preserve">10.1007/978-3-032-33195-3_15</t>
  </si>
  <si>
    <t xml:space="preserve">S320</t>
  </si>
  <si>
    <t xml:space="preserve">Addressing Optimism Bias in Sequence Modeling for Reinforcement Learning</t>
  </si>
  <si>
    <t xml:space="preserve">Villaflor, A.</t>
  </si>
  <si>
    <t xml:space="preserve">S321</t>
  </si>
  <si>
    <t xml:space="preserve">Learning Adaptable Utility Models for Morphological Diversity</t>
  </si>
  <si>
    <t xml:space="preserve">Campos-Alfaro, F.</t>
  </si>
  <si>
    <t xml:space="preserve">10.1007/978-3-031-61137-7_11</t>
  </si>
  <si>
    <t xml:space="preserve">S322</t>
  </si>
  <si>
    <t xml:space="preserve">Benchmarking distributed stream data processing systems</t>
  </si>
  <si>
    <t xml:space="preserve">Karimov, J.</t>
  </si>
  <si>
    <t xml:space="preserve">Proceedings - IEEE 34th International Conference on Data Engineering, ICDE 2018</t>
  </si>
  <si>
    <t xml:space="preserve">10.1109/icde.2018.00169</t>
  </si>
  <si>
    <t xml:space="preserve">S323</t>
  </si>
  <si>
    <t xml:space="preserve">Exploring Islamic Architecture Through Virtual Realms: A 3D Open World Simulator Game Approach for Engaging and Educating</t>
  </si>
  <si>
    <t xml:space="preserve">Hafizah, N.</t>
  </si>
  <si>
    <t xml:space="preserve">2024 20th IEEE International Colloquium on Signal Processing and Its Applications, CSPA 2024 - Conference Proceedings</t>
  </si>
  <si>
    <t xml:space="preserve">10.1109/cspa60979.2024.10525600</t>
  </si>
  <si>
    <t xml:space="preserve">S324</t>
  </si>
  <si>
    <t xml:space="preserve">From Text to Space: Mapping Abstract Spatial Models in LLMs During a Grid-World Navigation Task</t>
  </si>
  <si>
    <t xml:space="preserve">Martorell, N.</t>
  </si>
  <si>
    <t xml:space="preserve">10.1007/978-3-032-08330-2_13</t>
  </si>
  <si>
    <t xml:space="preserve">S325</t>
  </si>
  <si>
    <t xml:space="preserve">Software product families from a phylogenetics perspective for video game content generation</t>
  </si>
  <si>
    <t xml:space="preserve">Navarro, S.</t>
  </si>
  <si>
    <t xml:space="preserve">Journal of Systems and Software</t>
  </si>
  <si>
    <t xml:space="preserve">10.1016/j.jss.2025.112649</t>
  </si>
  <si>
    <t xml:space="preserve">S326</t>
  </si>
  <si>
    <t xml:space="preserve">Cesium Tiles for High-Realism Simulation and Comparing SLAM Results in Corresponding Virtual and Real-World Environments</t>
  </si>
  <si>
    <t xml:space="preserve">Beam, C.</t>
  </si>
  <si>
    <t xml:space="preserve">Conference Proceedings - IEEE SOUTHEASTCON</t>
  </si>
  <si>
    <t xml:space="preserve">10.1109/southeastcon52093.2024.10500076</t>
  </si>
  <si>
    <t xml:space="preserve">S327</t>
  </si>
  <si>
    <t xml:space="preserve">Learning to play with intrinsically-motivated, self-aware agents</t>
  </si>
  <si>
    <t xml:space="preserve">S328</t>
  </si>
  <si>
    <t xml:space="preserve">DyMoDreamer: World Modeling with Dynamic Modulation</t>
  </si>
  <si>
    <t xml:space="preserve">Zhang, B.</t>
  </si>
  <si>
    <t xml:space="preserve">S329</t>
  </si>
  <si>
    <t xml:space="preserve">LEARNING TRANSFORMER-BASED WORLD MODELS WITH CONTRASTIVE PREDICTIVE CODING</t>
  </si>
  <si>
    <t xml:space="preserve">S330</t>
  </si>
  <si>
    <t xml:space="preserve">Autonomous Underwater Environment Perceiving and Modeling: An Experimental Campaign With FeelHippo AUV for Forward Looking Sonar-Based Automatic Target Recognition and Data Association</t>
  </si>
  <si>
    <t xml:space="preserve">Zacchini, L.</t>
  </si>
  <si>
    <t xml:space="preserve">IEEE Journal of Oceanic Engineering</t>
  </si>
  <si>
    <t xml:space="preserve">10.1109/joe.2022.3209719</t>
  </si>
  <si>
    <t xml:space="preserve">S331</t>
  </si>
  <si>
    <t xml:space="preserve">A Reinforcement Learning QoS negotiation Model for IoT middleware</t>
  </si>
  <si>
    <t xml:space="preserve">Udoh, I.S.</t>
  </si>
  <si>
    <t xml:space="preserve">IoTBDS 2020 - Proceedings of the 5th International Conference on Internet of Things, Big Data and Security</t>
  </si>
  <si>
    <t xml:space="preserve">10.5220/0009350102050212</t>
  </si>
  <si>
    <t xml:space="preserve">S332</t>
  </si>
  <si>
    <t xml:space="preserve">Generalizing physical prediction by composing forces and objects</t>
  </si>
  <si>
    <t xml:space="preserve">Wang, H.</t>
  </si>
  <si>
    <t xml:space="preserve">Proceedings of the 44th Annual Meeting of the Cognitive Science Society: Cognitive Diversity, CogSci 2022</t>
  </si>
  <si>
    <t xml:space="preserve">S333</t>
  </si>
  <si>
    <t xml:space="preserve">Metaverse for Healthcare: Technologies, Challenges, and Vision</t>
  </si>
  <si>
    <t xml:space="preserve">Yang, Y.</t>
  </si>
  <si>
    <t xml:space="preserve">International Journal of Crowd Science</t>
  </si>
  <si>
    <t xml:space="preserve">10.26599/ijcs.2023.9100020</t>
  </si>
  <si>
    <t xml:space="preserve">S334</t>
  </si>
  <si>
    <t xml:space="preserve">Building a Unified Transportation Digital Twin: Integrating Rapidex for Next-Gen 3D Traffic Modeling and Road Scene Generation</t>
  </si>
  <si>
    <t xml:space="preserve">Nayab, D.</t>
  </si>
  <si>
    <t xml:space="preserve">Proceedings - 2024 IEEE International Symposium on Emerging Metaverse, ISEMV 2024</t>
  </si>
  <si>
    <t xml:space="preserve">10.1109/isemv63338.2024.00027</t>
  </si>
  <si>
    <t xml:space="preserve">S335</t>
  </si>
  <si>
    <t xml:space="preserve">Semantic relational object tracking</t>
  </si>
  <si>
    <t xml:space="preserve">Persson, A.</t>
  </si>
  <si>
    <t xml:space="preserve">IEEE Transactions on Cognitive and Developmental Systems</t>
  </si>
  <si>
    <t xml:space="preserve">10.1109/tcds.2019.2915763</t>
  </si>
  <si>
    <t xml:space="preserve">S336</t>
  </si>
  <si>
    <t xml:space="preserve">General Pacman AI: Game Agent with Tree Search, Adversarial Search and Model-Based RL Algorithms</t>
  </si>
  <si>
    <t xml:space="preserve">Zou, Y.</t>
  </si>
  <si>
    <t xml:space="preserve">Proceedings - 2021 2nd International Conference on Big Data and Artificial Intelligence and Software Engineering, ICBASE 2021</t>
  </si>
  <si>
    <t xml:space="preserve">10.1109/icbase53849.2021.00053</t>
  </si>
  <si>
    <t xml:space="preserve">S337</t>
  </si>
  <si>
    <t xml:space="preserve">Survey on embodied intelligence: advances in vision-language-action models</t>
  </si>
  <si>
    <t xml:space="preserve">Liu, R.</t>
  </si>
  <si>
    <t xml:space="preserve">10.11834/jig.250544</t>
  </si>
  <si>
    <t xml:space="preserve">S338</t>
  </si>
  <si>
    <t xml:space="preserve">The bottleneck simulator: A model-based deep reinforcement learning approach</t>
  </si>
  <si>
    <t xml:space="preserve">Serban, I.V.</t>
  </si>
  <si>
    <t xml:space="preserve">10.1613/jair.1.12463</t>
  </si>
  <si>
    <t xml:space="preserve">S339</t>
  </si>
  <si>
    <t xml:space="preserve">A survey of unmanned aerial vehicle vision-language navigation from the perspective of embodied intelligence</t>
  </si>
  <si>
    <t xml:space="preserve">Zheng, Z.</t>
  </si>
  <si>
    <t xml:space="preserve">10.11834/jig.260203</t>
  </si>
  <si>
    <t xml:space="preserve">S340</t>
  </si>
  <si>
    <t xml:space="preserve">Fmri evidence for default mode network deactivation associated with rapid eye movements in sleep</t>
  </si>
  <si>
    <t xml:space="preserve">Hong, C.C.-H.</t>
  </si>
  <si>
    <t xml:space="preserve">Brain Sciences</t>
  </si>
  <si>
    <t xml:space="preserve">10.3390/brainsci11111528</t>
  </si>
  <si>
    <t xml:space="preserve">S341</t>
  </si>
  <si>
    <t xml:space="preserve">Neuromorphic dreaming as a pathway to efficient learning in artificial agents</t>
  </si>
  <si>
    <t xml:space="preserve">Blakowski, I.</t>
  </si>
  <si>
    <t xml:space="preserve">Neuromorphic Computing and Engineering</t>
  </si>
  <si>
    <t xml:space="preserve">10.1088/2634-4386/ae0a77</t>
  </si>
  <si>
    <t xml:space="preserve">S342</t>
  </si>
  <si>
    <t xml:space="preserve">Policy optimization with model-based explorations</t>
  </si>
  <si>
    <t xml:space="preserve">Pan, F.</t>
  </si>
  <si>
    <t xml:space="preserve">33rd AAAI Conference on Artificial Intelligence, AAAI 2019, 31st Innovative Applications of Artificial Intelligence Conference, IAAI 2019 and the 9th AAAI Symposium on Educational Advances in Artificial Intelligence, EAAI 2019</t>
  </si>
  <si>
    <t xml:space="preserve">10.1609/aaai.v33i01.33014675</t>
  </si>
  <si>
    <t xml:space="preserve">S343</t>
  </si>
  <si>
    <t xml:space="preserve">Learning Robust Dynamics through Variational Sparse Gating</t>
  </si>
  <si>
    <t xml:space="preserve">Jain, A.K.</t>
  </si>
  <si>
    <t xml:space="preserve">S344</t>
  </si>
  <si>
    <t xml:space="preserve">An Extensible, Data-Oriented Architecture for High-Performance, Many-World Simulation</t>
  </si>
  <si>
    <t xml:space="preserve">Shacklett, B.</t>
  </si>
  <si>
    <t xml:space="preserve">10.1145/3592427</t>
  </si>
  <si>
    <t xml:space="preserve">S345</t>
  </si>
  <si>
    <t xml:space="preserve">Game state prediction with ensemble of machine learning techniques</t>
  </si>
  <si>
    <t xml:space="preserve">Woh, S.-M.</t>
  </si>
  <si>
    <t xml:space="preserve">Proceedings - 2018 Joint 10th International Conference on Soft Computing and Intelligent Systems and 19th International Symposium on Advanced Intelligent Systems, SCIS-ISIS 2018</t>
  </si>
  <si>
    <t xml:space="preserve">10.1109/scis-isis.2018.00025</t>
  </si>
  <si>
    <t xml:space="preserve">S346</t>
  </si>
  <si>
    <t xml:space="preserve">Genie: Generative Interactive Environments</t>
  </si>
  <si>
    <t xml:space="preserve">Bruce, J.</t>
  </si>
  <si>
    <t xml:space="preserve">S347</t>
  </si>
  <si>
    <t xml:space="preserve">Video games as spaces for providing information and awareness of algorithmic control in the gig economy</t>
  </si>
  <si>
    <t xml:space="preserve">Fernández-Ruiz, M.</t>
  </si>
  <si>
    <t xml:space="preserve">New Media and Society</t>
  </si>
  <si>
    <t xml:space="preserve">10.1177/14614448241307036</t>
  </si>
  <si>
    <t xml:space="preserve">S348</t>
  </si>
  <si>
    <t xml:space="preserve">Artificial Intelligence (AI) in Augmented Reality (AR), Virtual Reality (VR) and Mixed Reality (MR) Experiences: Enhancing Immersion and Interaction for User Experiences</t>
  </si>
  <si>
    <t xml:space="preserve">Asra, S.A.</t>
  </si>
  <si>
    <t xml:space="preserve">IEEE Region 10 Annual International Conference, Proceedings/TENCON</t>
  </si>
  <si>
    <t xml:space="preserve">10.1109/tencon61640.2024.10902724</t>
  </si>
  <si>
    <t xml:space="preserve">S349</t>
  </si>
  <si>
    <t xml:space="preserve">SIMPLE, GOOD, FAST: SELF-SUPERVISED WORLD MODELS FREE OF BAGGAGE</t>
  </si>
  <si>
    <t xml:space="preserve">S350</t>
  </si>
  <si>
    <t xml:space="preserve">Digital Twin-Driven VCTS Control: An Iterative Apporach Using Model-Based Reinforcement Learning</t>
  </si>
  <si>
    <t xml:space="preserve">Ye, Z.</t>
  </si>
  <si>
    <t xml:space="preserve">10.1109/tvt.2024.3492183</t>
  </si>
  <si>
    <t xml:space="preserve">S351</t>
  </si>
  <si>
    <t xml:space="preserve">Bot development for military wargaming simulation</t>
  </si>
  <si>
    <t xml:space="preserve">Bedi, P.</t>
  </si>
  <si>
    <t xml:space="preserve">10.1007/978-981-13-2035-4_30</t>
  </si>
  <si>
    <t xml:space="preserve">S352</t>
  </si>
  <si>
    <t xml:space="preserve">Brief Survey of Model-Based Reinforcement Learning Techniques</t>
  </si>
  <si>
    <t xml:space="preserve">Pal, C.-V.</t>
  </si>
  <si>
    <t xml:space="preserve">2020 24th International Conference on System Theory, Control and Computing, ICSTCC 2020 - Proceedings</t>
  </si>
  <si>
    <t xml:space="preserve">10.1109/icstcc50638.2020.9259716</t>
  </si>
  <si>
    <t xml:space="preserve">S353</t>
  </si>
  <si>
    <t xml:space="preserve">Thinker: Learning to Plan and Act</t>
  </si>
  <si>
    <t xml:space="preserve">Chung, S.</t>
  </si>
  <si>
    <t xml:space="preserve">S354</t>
  </si>
  <si>
    <t xml:space="preserve">Curious Replay for Model-based Adaptation</t>
  </si>
  <si>
    <t xml:space="preserve">Kauvar, I.</t>
  </si>
  <si>
    <t xml:space="preserve">S355</t>
  </si>
  <si>
    <t xml:space="preserve">DayDreamer: World Models for Physical Robot Learning</t>
  </si>
  <si>
    <t xml:space="preserve">Wu, P.</t>
  </si>
  <si>
    <t xml:space="preserve">S356</t>
  </si>
  <si>
    <t xml:space="preserve">Inferring Time-delayed Causal Relations in POMDPs from the Principle of Independence of Cause and Mechanism</t>
  </si>
  <si>
    <t xml:space="preserve">Liang, J.</t>
  </si>
  <si>
    <t xml:space="preserve">IJCAI International Joint Conference on Artificial Intelligence</t>
  </si>
  <si>
    <t xml:space="preserve">10.24963/ijcai.2021/268</t>
  </si>
  <si>
    <t xml:space="preserve">S357</t>
  </si>
  <si>
    <t xml:space="preserve">DRLViz: Understanding Decisions and Memory in Deep Reinforcement Learning</t>
  </si>
  <si>
    <t xml:space="preserve">Jaunet, T.</t>
  </si>
  <si>
    <t xml:space="preserve">Computer Graphics Forum</t>
  </si>
  <si>
    <t xml:space="preserve">10.1111/cgf.13962</t>
  </si>
  <si>
    <t xml:space="preserve">S358</t>
  </si>
  <si>
    <t xml:space="preserve">Long-Context State-Space Video World Models</t>
  </si>
  <si>
    <t xml:space="preserve">Po, R.</t>
  </si>
  <si>
    <t xml:space="preserve">10.1109/iccv51701.2025.00817</t>
  </si>
  <si>
    <t xml:space="preserve">S359</t>
  </si>
  <si>
    <t xml:space="preserve">Diffusion for World Modeling: Visual Details Matter in Atari</t>
  </si>
  <si>
    <t xml:space="preserve">Alonso, E.</t>
  </si>
  <si>
    <t xml:space="preserve">S360</t>
  </si>
  <si>
    <t xml:space="preserve">Regularizing Model Predictive Control for pixel-based long-horizon tasks</t>
  </si>
  <si>
    <t xml:space="preserve">Li, Y.-H.</t>
  </si>
  <si>
    <t xml:space="preserve">Applied Soft Computing</t>
  </si>
  <si>
    <t xml:space="preserve">10.1016/j.asoc.2025.113377</t>
  </si>
  <si>
    <t xml:space="preserve">S361</t>
  </si>
  <si>
    <t xml:space="preserve">Hybrid MCTS++: An Adaptive Optimizer for Enhanced Game-Playing Performance</t>
  </si>
  <si>
    <t xml:space="preserve">Abuhashish, F.</t>
  </si>
  <si>
    <t xml:space="preserve">10.1109/icciaa68481.2026.11543971</t>
  </si>
  <si>
    <t xml:space="preserve">S362</t>
  </si>
  <si>
    <t xml:space="preserve">Question Answering for Visual Navigation in Human-Centered Environments</t>
  </si>
  <si>
    <t xml:space="preserve">Kirilenko, D.E.</t>
  </si>
  <si>
    <t xml:space="preserve">10.1007/978-3-030-89820-5_3</t>
  </si>
  <si>
    <t xml:space="preserve">S363</t>
  </si>
  <si>
    <t xml:space="preserve">ACTSAFE: ACTIVE EXPLORATION WITH SAFETY CONSTRAINTS FOR REINFORCEMENT LEARNING</t>
  </si>
  <si>
    <t xml:space="preserve">As, Y.</t>
  </si>
  <si>
    <t xml:space="preserve">S364</t>
  </si>
  <si>
    <t xml:space="preserve">ManiGaussian: Dynamic Gaussian Splatting for Multi-task Robotic Manipulation</t>
  </si>
  <si>
    <t xml:space="preserve">Lu, G.</t>
  </si>
  <si>
    <t xml:space="preserve">10.1007/978-3-031-72761-0_20</t>
  </si>
  <si>
    <t xml:space="preserve">S365</t>
  </si>
  <si>
    <t xml:space="preserve">An Overview of OpenAI’s Sora and Its Potential for Physics Engine Free Games and Virtual Reality</t>
  </si>
  <si>
    <t xml:space="preserve">EAI Endorsed Transactions on AI and Robotics</t>
  </si>
  <si>
    <t xml:space="preserve">10.4108/airo.5273</t>
  </si>
  <si>
    <t xml:space="preserve">S366</t>
  </si>
  <si>
    <t xml:space="preserve">PLANNING IN STOCHASTIC ENVIRONMENTS WITH A LEARNED MODEL</t>
  </si>
  <si>
    <t xml:space="preserve">Antonoglou, I.</t>
  </si>
  <si>
    <t xml:space="preserve">ICLR 2022 - 10th International Conference on Learning Representations</t>
  </si>
  <si>
    <t xml:space="preserve">S367</t>
  </si>
  <si>
    <t xml:space="preserve">FusDreamer: Label-Efficient Remote Sensing World Model for Multimodal Data Classification</t>
  </si>
  <si>
    <t xml:space="preserve">IEEE Transactions on Geoscience and Remote Sensing</t>
  </si>
  <si>
    <t xml:space="preserve">10.1109/tgrs.2025.3554862</t>
  </si>
  <si>
    <t xml:space="preserve">S368</t>
  </si>
  <si>
    <t xml:space="preserve">Imagined Autocurricula</t>
  </si>
  <si>
    <t xml:space="preserve">Güzel, A.H.</t>
  </si>
  <si>
    <t xml:space="preserve">S369</t>
  </si>
  <si>
    <t xml:space="preserve">Open-world reasoning for service robots</t>
  </si>
  <si>
    <t xml:space="preserve">10.1609/icaps.v29i1.3541</t>
  </si>
  <si>
    <t xml:space="preserve">S370</t>
  </si>
  <si>
    <t xml:space="preserve">Handling Concurrency in Behavior Trees</t>
  </si>
  <si>
    <t xml:space="preserve">Colledanchise, M.</t>
  </si>
  <si>
    <t xml:space="preserve">IEEE Transactions on Robotics</t>
  </si>
  <si>
    <t xml:space="preserve">10.1109/tro.2021.3125863</t>
  </si>
  <si>
    <t xml:space="preserve">S371</t>
  </si>
  <si>
    <t xml:space="preserve">Task-aware world model learning with meta weighting via bi-level optimization</t>
  </si>
  <si>
    <t xml:space="preserve">Yuan, H.</t>
  </si>
  <si>
    <t xml:space="preserve">S372</t>
  </si>
  <si>
    <t xml:space="preserve">Find any Part in 3D</t>
  </si>
  <si>
    <t xml:space="preserve">Ma, Z.</t>
  </si>
  <si>
    <t xml:space="preserve">10.1109/iccv51701.2025.00733</t>
  </si>
  <si>
    <t xml:space="preserve">S373</t>
  </si>
  <si>
    <t xml:space="preserve">KnowRobSIM - Game Engine-Enabled Knowledge Processing Towards Cognition-Enabled Robot Control</t>
  </si>
  <si>
    <t xml:space="preserve">Haidu, A.</t>
  </si>
  <si>
    <t xml:space="preserve">10.1109/iros.2018.8593935</t>
  </si>
  <si>
    <t xml:space="preserve">S374</t>
  </si>
  <si>
    <t xml:space="preserve">Predicting firearms performance based on psychiatric symptoms and medication usage</t>
  </si>
  <si>
    <t xml:space="preserve">Delaney, E.</t>
  </si>
  <si>
    <t xml:space="preserve">Professional Psychology: Research and Practice</t>
  </si>
  <si>
    <t xml:space="preserve">10.1037/pro0000189</t>
  </si>
  <si>
    <t xml:space="preserve">S375</t>
  </si>
  <si>
    <t xml:space="preserve">Revisiting Tree Search for LLMs: Gumbel and Sequential Halving for Budget-Scalable Reasoning</t>
  </si>
  <si>
    <t xml:space="preserve">Ugadiarov, L.</t>
  </si>
  <si>
    <t xml:space="preserve">10.1609/icaps.v36i1.42891</t>
  </si>
  <si>
    <t xml:space="preserve">S376</t>
  </si>
  <si>
    <t xml:space="preserve">Search-based Reinforcement Learning through Bandit Linear Optimization</t>
  </si>
  <si>
    <t xml:space="preserve">Peelman, M.</t>
  </si>
  <si>
    <t xml:space="preserve">10.24963/ijcai.2022/469</t>
  </si>
  <si>
    <t xml:space="preserve">S377</t>
  </si>
  <si>
    <t xml:space="preserve">DEVELOPMENT OF METHODS OF ARTILLERY CONTROL FOR SUPPRESSION OF AN ENEMY AMPHIBIOUS OPERATION IN VIDEO GAME SIMULATIONS</t>
  </si>
  <si>
    <t xml:space="preserve">Grishyn, M.</t>
  </si>
  <si>
    <t xml:space="preserve">Technology Audit and Production Reserves</t>
  </si>
  <si>
    <t xml:space="preserve">10.15587/2706-5448.2025.321797</t>
  </si>
  <si>
    <t xml:space="preserve">S378</t>
  </si>
  <si>
    <t xml:space="preserve">ReSim: Reliable World Simulation for Autonomous Driving</t>
  </si>
  <si>
    <t xml:space="preserve">Yang, J.</t>
  </si>
  <si>
    <t xml:space="preserve">S379</t>
  </si>
  <si>
    <t xml:space="preserve">Data Driven Evasion Policy for Repeated Pursuit Evasion Problem with Unknown Imperfect Pursuer</t>
  </si>
  <si>
    <t xml:space="preserve">He, L.</t>
  </si>
  <si>
    <t xml:space="preserve">2025 5th International Conference on Robotics, Automation, and Artificial Intelligence, RAAI 2025</t>
  </si>
  <si>
    <t xml:space="preserve">10.1109/raai67517.2025.11423324</t>
  </si>
  <si>
    <t xml:space="preserve">S380</t>
  </si>
  <si>
    <t xml:space="preserve">Evolutionary F1 Race Strategy</t>
  </si>
  <si>
    <t xml:space="preserve">Bonomi, A.</t>
  </si>
  <si>
    <t xml:space="preserve">GECCO 2023 Companion - Proceedings of the 2023 Genetic and Evolutionary Computation Conference Companion</t>
  </si>
  <si>
    <t xml:space="preserve">10.1145/3583133.3596349</t>
  </si>
  <si>
    <t xml:space="preserve">S381</t>
  </si>
  <si>
    <t xml:space="preserve">UniZero: Generalized and Efficient Planning with Scalable Latent World Models</t>
  </si>
  <si>
    <t xml:space="preserve">Pu, Y.</t>
  </si>
  <si>
    <t xml:space="preserve">S382</t>
  </si>
  <si>
    <t xml:space="preserve">SIMWORLD: An Open-ended Simulator for Agents in Physical and Social Worlds</t>
  </si>
  <si>
    <t xml:space="preserve">Ye, X.</t>
  </si>
  <si>
    <t xml:space="preserve">S383</t>
  </si>
  <si>
    <t xml:space="preserve">Tracking and Planning with Spatial World Models</t>
  </si>
  <si>
    <t xml:space="preserve">Kayalıbay, B.</t>
  </si>
  <si>
    <t xml:space="preserve">S384</t>
  </si>
  <si>
    <t xml:space="preserve">ENHANCING SAFETY TRAINING AND HAZARD IDENTIFICATION IN CONSTRUCTION PROJECTS USING 360-DEGREE PANORAMIC IMAGES</t>
  </si>
  <si>
    <t xml:space="preserve">Taha, T.</t>
  </si>
  <si>
    <t xml:space="preserve">Journal of Information Technology in Construction</t>
  </si>
  <si>
    <t xml:space="preserve">10.36680/j.itcon.2025.047</t>
  </si>
  <si>
    <t xml:space="preserve">S385</t>
  </si>
  <si>
    <t xml:space="preserve">Divergent Design: Disrupting Systems Through Game Experiences</t>
  </si>
  <si>
    <t xml:space="preserve">O’Dell Daugherity, S.</t>
  </si>
  <si>
    <t xml:space="preserve">10.34190/ecgbl.19.2.4047</t>
  </si>
  <si>
    <t xml:space="preserve">S386</t>
  </si>
  <si>
    <t xml:space="preserve">Coupling of inertial measurement units with a virtual world model for supporting navigation in bronchoscopy</t>
  </si>
  <si>
    <t xml:space="preserve">Michalski, D.</t>
  </si>
  <si>
    <t xml:space="preserve">Biocybernetics and Biomedical Engineering</t>
  </si>
  <si>
    <t xml:space="preserve">10.1016/j.bbe.2018.12.001</t>
  </si>
  <si>
    <t xml:space="preserve">S387</t>
  </si>
  <si>
    <t xml:space="preserve">Video-Enhanced Offline Reinforcement Learning: A Model-Based Approach</t>
  </si>
  <si>
    <t xml:space="preserve">Pan, M.</t>
  </si>
  <si>
    <t xml:space="preserve">S388</t>
  </si>
  <si>
    <t xml:space="preserve">Efficient Neural Network Pruning Using Model-Based Reinforcement Learning</t>
  </si>
  <si>
    <t xml:space="preserve">Bencsik, B.</t>
  </si>
  <si>
    <t xml:space="preserve">Proceedings - International Symposium on Measurement and Control in Robotics: Robotics and Virtual Tools for a New Era, ISMCR 2022</t>
  </si>
  <si>
    <t xml:space="preserve">10.1109/ismcr56534.2022.9950598</t>
  </si>
  <si>
    <t xml:space="preserve">S389</t>
  </si>
  <si>
    <t xml:space="preserve">Improving TransformerWorld Models for Data-Efficient RL</t>
  </si>
  <si>
    <t xml:space="preserve">Dedieu, A.</t>
  </si>
  <si>
    <t xml:space="preserve">S390</t>
  </si>
  <si>
    <t xml:space="preserve">Mastering diverse control tasks through world models</t>
  </si>
  <si>
    <t xml:space="preserve">Hafner, D.</t>
  </si>
  <si>
    <t xml:space="preserve">Nature</t>
  </si>
  <si>
    <t xml:space="preserve">10.1038/s41586-025-08744-2</t>
  </si>
  <si>
    <t xml:space="preserve">S391</t>
  </si>
  <si>
    <t xml:space="preserve">An Empirical Analysis of Gumbel MuZero on Stochastic and Deterministic Einstein Würfelt Nicht!</t>
  </si>
  <si>
    <t xml:space="preserve">Kuo, C.-L.</t>
  </si>
  <si>
    <t xml:space="preserve">10.1007/978-981-97-1711-8_25</t>
  </si>
  <si>
    <t xml:space="preserve">S392</t>
  </si>
  <si>
    <t xml:space="preserve">Safe Reward Learning from Human Preferences and Justifications</t>
  </si>
  <si>
    <t xml:space="preserve">Kazantzidis, I.</t>
  </si>
  <si>
    <t xml:space="preserve">International Conference on Agents and Artificial Intelligence</t>
  </si>
  <si>
    <t xml:space="preserve">10.5220/0014408700004052</t>
  </si>
  <si>
    <t xml:space="preserve">S393</t>
  </si>
  <si>
    <t xml:space="preserve">Scaffolding Interprofessional Education: Unfolding Case Studies, Virtual World Simulations, and Patient-Centered Care</t>
  </si>
  <si>
    <t xml:space="preserve">Zook, S.S.</t>
  </si>
  <si>
    <t xml:space="preserve">Nurse Educator</t>
  </si>
  <si>
    <t xml:space="preserve">10.1097/nne.0000000000000430</t>
  </si>
  <si>
    <t xml:space="preserve">S394</t>
  </si>
  <si>
    <t xml:space="preserve">Neural Game Engine: Accurate learning of generalizable forward models from pixels.</t>
  </si>
  <si>
    <t xml:space="preserve">Bamford, C.</t>
  </si>
  <si>
    <t xml:space="preserve">10.1109/cog47356.2020.9231688</t>
  </si>
  <si>
    <t xml:space="preserve">S395</t>
  </si>
  <si>
    <t xml:space="preserve">Procedural Content Generator of a Polygonal Surface Models of Trees</t>
  </si>
  <si>
    <t xml:space="preserve">Poprík, P.</t>
  </si>
  <si>
    <t xml:space="preserve">Proceedings of the International Symposium on Applied Machine Intelligence and Informatics, SAMI</t>
  </si>
  <si>
    <t xml:space="preserve">10.1109/sami63904.2025.10883199</t>
  </si>
  <si>
    <t xml:space="preserve">S396</t>
  </si>
  <si>
    <t xml:space="preserve">Online and Offline Reinforcement Learning by Planning with a Learned Model</t>
  </si>
  <si>
    <t xml:space="preserve">Schrittwieser, J.</t>
  </si>
  <si>
    <t xml:space="preserve">S397</t>
  </si>
  <si>
    <t xml:space="preserve">Planning in Branch-and-Bound: Model-Based Reinforcement Learning for Exact Combinatorial Optimization</t>
  </si>
  <si>
    <t xml:space="preserve">Strang, P.</t>
  </si>
  <si>
    <t xml:space="preserve">10.1609/aaai.v40i30.39759</t>
  </si>
  <si>
    <t xml:space="preserve">S398</t>
  </si>
  <si>
    <t xml:space="preserve">Peer Effects on Individual Performance in a Team Sport</t>
  </si>
  <si>
    <t xml:space="preserve">Molodchik, M.</t>
  </si>
  <si>
    <t xml:space="preserve">Journal of Sports Economics</t>
  </si>
  <si>
    <t xml:space="preserve">10.1177/15270025211000389</t>
  </si>
  <si>
    <t xml:space="preserve">S399</t>
  </si>
  <si>
    <t xml:space="preserve">Smacking Screws with Hammers: Experiencing Affordances of Block-based Programming through the Hourglass Challenge</t>
  </si>
  <si>
    <t xml:space="preserve">Repenning, A.</t>
  </si>
  <si>
    <t xml:space="preserve">SIGCSE 2021 - Proceedings of the 52nd ACM Technical Symposium on Computer Science Education</t>
  </si>
  <si>
    <t xml:space="preserve">10.1145/3408877.3432444</t>
  </si>
  <si>
    <t xml:space="preserve">S400</t>
  </si>
  <si>
    <t xml:space="preserve">WORLDMEM: Long-term Consistent World Simulation with Memory</t>
  </si>
  <si>
    <t xml:space="preserve">Xiao, Z.</t>
  </si>
  <si>
    <t xml:space="preserve">S401</t>
  </si>
  <si>
    <t xml:space="preserve">Teleoperation of a drone based on a virtual environment∗</t>
  </si>
  <si>
    <t xml:space="preserve">Rojas, B.</t>
  </si>
  <si>
    <t xml:space="preserve">2019 International Workshop on Research, Education and Development on Unmanned Aerial Systems, RED-UAS 2019</t>
  </si>
  <si>
    <t xml:space="preserve">10.1109/reduas47371.2019.8999714</t>
  </si>
  <si>
    <t xml:space="preserve">S402</t>
  </si>
  <si>
    <t xml:space="preserve">Reinforcement learning-based unknown reference tracking control of HMASs with nonidentical communication delays</t>
  </si>
  <si>
    <t xml:space="preserve">Xu, Y.</t>
  </si>
  <si>
    <t xml:space="preserve">Science China Information Sciences</t>
  </si>
  <si>
    <t xml:space="preserve">10.1007/s11432-022-3729-7</t>
  </si>
  <si>
    <t xml:space="preserve">S403</t>
  </si>
  <si>
    <t xml:space="preserve">WorldGrow: Generating Infinite 3D World</t>
  </si>
  <si>
    <t xml:space="preserve">10.1609/aaai.v40i8.37571</t>
  </si>
  <si>
    <t xml:space="preserve">S404</t>
  </si>
  <si>
    <t xml:space="preserve">SGOOD: Substructure-enhanced Graph-Level Out-of-Distribution Detection</t>
  </si>
  <si>
    <t xml:space="preserve">Ding, Z.</t>
  </si>
  <si>
    <t xml:space="preserve">International Conference on Information and Knowledge Management, Proceedings</t>
  </si>
  <si>
    <t xml:space="preserve">10.1145/3627673.3679710</t>
  </si>
  <si>
    <t xml:space="preserve">S405</t>
  </si>
  <si>
    <t xml:space="preserve">Beyond Single-Speed Reasoning: Coordinating Fast and Slow Dynamics for Efficient World Modeling</t>
  </si>
  <si>
    <t xml:space="preserve">10.1609/aaai.v40i31.39825</t>
  </si>
  <si>
    <t xml:space="preserve">S406</t>
  </si>
  <si>
    <t xml:space="preserve">AI-Driven Personalized Fall Prevention for Older Adults</t>
  </si>
  <si>
    <t xml:space="preserve">Xu, K.</t>
  </si>
  <si>
    <t xml:space="preserve">10.1609/aaai.v39i28.35342</t>
  </si>
  <si>
    <t xml:space="preserve">S407</t>
  </si>
  <si>
    <t xml:space="preserve">Integrating Large Language Models with Reinforcement Learning for Generalization in Strategic Card Games: Extended Abstract</t>
  </si>
  <si>
    <t xml:space="preserve">Xia, W.</t>
  </si>
  <si>
    <t xml:space="preserve">S408</t>
  </si>
  <si>
    <t xml:space="preserve">A unified model for scale-free, small-world, and community structures in growing network algorithms via island-based generation</t>
  </si>
  <si>
    <t xml:space="preserve">Utsumi, S.</t>
  </si>
  <si>
    <t xml:space="preserve">Chaos, Solitons and Fractals</t>
  </si>
  <si>
    <t xml:space="preserve">10.1016/j.chaos.2026.118844</t>
  </si>
  <si>
    <t xml:space="preserve">S409</t>
  </si>
  <si>
    <t xml:space="preserve">Experimental Verification of the Field Robotic System for Pipeline Maintenance</t>
  </si>
  <si>
    <t xml:space="preserve">Phuong Nguyen, T.</t>
  </si>
  <si>
    <t xml:space="preserve">10.1109/access.2025.3529131</t>
  </si>
  <si>
    <t xml:space="preserve">S410</t>
  </si>
  <si>
    <t xml:space="preserve">Learning General World Models in a Handful of Reward-Free Deployments</t>
  </si>
  <si>
    <t xml:space="preserve">S411</t>
  </si>
  <si>
    <t xml:space="preserve">Security Issues and Attack Prevention Solutions on Docker and Kubernetes</t>
  </si>
  <si>
    <t xml:space="preserve">Hoang, H.T.</t>
  </si>
  <si>
    <t xml:space="preserve">EEE-AM 2025 - IEEE 2nd Asia Meeting on Environment and Electrical Engineering</t>
  </si>
  <si>
    <t xml:space="preserve">10.1109/eee-am66675.2025.11473367</t>
  </si>
  <si>
    <t xml:space="preserve">S412</t>
  </si>
  <si>
    <t xml:space="preserve">Posterior Sampling for Deep Reinforcement Learning</t>
  </si>
  <si>
    <t xml:space="preserve">Sasso, R.</t>
  </si>
  <si>
    <t xml:space="preserve">S413</t>
  </si>
  <si>
    <t xml:space="preserve">Safe Stabilization Control for Interconnected Virtual-Real Systems via Model-based Reinforcement Learning</t>
  </si>
  <si>
    <t xml:space="preserve">14th Asian Control Conference, ASCC 2024</t>
  </si>
  <si>
    <t xml:space="preserve">S414</t>
  </si>
  <si>
    <t xml:space="preserve">Research on Sample Efficiency Optimization for Visual Reinforcement Learning Based on World Model</t>
  </si>
  <si>
    <t xml:space="preserve">Sun, J.</t>
  </si>
  <si>
    <t xml:space="preserve">2026 IEEE 6th International Conference on Electronic Technology, Communication and Information, ICETCI 2026</t>
  </si>
  <si>
    <t xml:space="preserve">10.1109/icetci68937.2026.11610699</t>
  </si>
  <si>
    <t xml:space="preserve">S415</t>
  </si>
  <si>
    <t xml:space="preserve">STEP-UP: Enabling Low-Cost IMU Sensors to Predict the Type of Dementia During Everyday Stair Climbing</t>
  </si>
  <si>
    <t xml:space="preserve">Holloway, C.</t>
  </si>
  <si>
    <t xml:space="preserve">Frontiers in Computer Science</t>
  </si>
  <si>
    <t xml:space="preserve">10.3389/fcomp.2021.804917</t>
  </si>
  <si>
    <t xml:space="preserve">S416</t>
  </si>
  <si>
    <t xml:space="preserve">Subjective Quality Assessment for Images Generated by Computer Graphics</t>
  </si>
  <si>
    <t xml:space="preserve">Wang, T.</t>
  </si>
  <si>
    <t xml:space="preserve">2022 IEEE 24th International Workshop on Multimedia Signal Processing, MMSP 2022</t>
  </si>
  <si>
    <t xml:space="preserve">10.1109/mmsp55362.2022.9948880</t>
  </si>
  <si>
    <t xml:space="preserve">S417</t>
  </si>
  <si>
    <t xml:space="preserve">Dyna-Validator: A Model-based Reinforcement Learning Method with Validated Simulated Experiences</t>
  </si>
  <si>
    <t xml:space="preserve">Zhang, H.S.</t>
  </si>
  <si>
    <t xml:space="preserve">International Journal of Computers, Communications and Control</t>
  </si>
  <si>
    <t xml:space="preserve">10.15837/ijccc.2023.5.5073</t>
  </si>
  <si>
    <t xml:space="preserve">S418</t>
  </si>
  <si>
    <t xml:space="preserve">Benchmarking the Covariate Shift Robustness of Open-world Intent Classification Approaches</t>
  </si>
  <si>
    <t xml:space="preserve">Khosla, S.</t>
  </si>
  <si>
    <t xml:space="preserve">Proceedings of the 2nd Conference of the Asia-Pacific Chapter of the Association for Computational Linguistics and the 12th International Joint Conference on Natural Language Processing: Long Paper, AACL-IJCNLP 2022</t>
  </si>
  <si>
    <t xml:space="preserve">10.18653/v1/2022.aacl-short.3</t>
  </si>
  <si>
    <t xml:space="preserve">S419</t>
  </si>
  <si>
    <t xml:space="preserve">The concept of safety and security education in the context of sustainability</t>
  </si>
  <si>
    <t xml:space="preserve">Wysokińska-Senkus, A.</t>
  </si>
  <si>
    <t xml:space="preserve">10.3390/su12125022</t>
  </si>
  <si>
    <t xml:space="preserve">S420</t>
  </si>
  <si>
    <t xml:space="preserve">PHYSICAL WORLD GENERATION MODELS EMBEDDED IN DIGITAL TWIN FRAMEWORK: A NOVEL PARADIGM</t>
  </si>
  <si>
    <t xml:space="preserve">Li, I.</t>
  </si>
  <si>
    <t xml:space="preserve">IET Conference Proceedings</t>
  </si>
  <si>
    <t xml:space="preserve">10.1049/icp.2026.0526</t>
  </si>
  <si>
    <t xml:space="preserve">S421</t>
  </si>
  <si>
    <t xml:space="preserve">Dual Process Dreamer: Fast and Slow Decision-Making with World Models</t>
  </si>
  <si>
    <t xml:space="preserve">Lømo, T.</t>
  </si>
  <si>
    <t xml:space="preserve">10.5220/0014243200004052</t>
  </si>
  <si>
    <t xml:space="preserve">S422</t>
  </si>
  <si>
    <t xml:space="preserve">Invisible Dynamic Mechanic Adjustment in Virtual Reality Games</t>
  </si>
  <si>
    <t xml:space="preserve">Robertson, J.</t>
  </si>
  <si>
    <t xml:space="preserve">Proceedings - 2020 IEEE International Conference on Artificial Intelligence and Virtual Reality, AIVR 2020</t>
  </si>
  <si>
    <t xml:space="preserve">10.1109/aivr50618.2020.00057</t>
  </si>
  <si>
    <t xml:space="preserve">S423</t>
  </si>
  <si>
    <t xml:space="preserve">Modeling Cyber Attacks and Resource Optimization for Enhancing Cyber Resilience</t>
  </si>
  <si>
    <t xml:space="preserve">Rejouani, Z.</t>
  </si>
  <si>
    <t xml:space="preserve">Proceedings - 2025 8th International Conference on Networking, Intelligent Systems and Security, NISS 2025</t>
  </si>
  <si>
    <t xml:space="preserve">10.1109/niss66502.2025.00020</t>
  </si>
  <si>
    <t xml:space="preserve">S424</t>
  </si>
  <si>
    <t xml:space="preserve">The mathematical algorithms for maintaining vehicle platoons in unpredictable situations</t>
  </si>
  <si>
    <t xml:space="preserve">Park, C.H.</t>
  </si>
  <si>
    <t xml:space="preserve">Journal of Intelligent Transportation Systems: Technology, Planning, and Operations</t>
  </si>
  <si>
    <t xml:space="preserve">10.1080/15472450.2025.2512318</t>
  </si>
  <si>
    <t xml:space="preserve">S425</t>
  </si>
  <si>
    <t xml:space="preserve">Prefrontal meta-control incorporating mental simulation enhances the adaptivity of reinforcement learning agents in dynamic environments</t>
  </si>
  <si>
    <t xml:space="preserve">10.3389/fncom.2025.1559915</t>
  </si>
  <si>
    <t xml:space="preserve">S426</t>
  </si>
  <si>
    <t xml:space="preserve">Learning Finite State Machines from Gameplay Video</t>
  </si>
  <si>
    <t xml:space="preserve">Goel, D.</t>
  </si>
  <si>
    <t xml:space="preserve">10.1609/aiide.v21i1.36843</t>
  </si>
  <si>
    <t xml:space="preserve">S427</t>
  </si>
  <si>
    <t xml:space="preserve">Surgical Vision World Model</t>
  </si>
  <si>
    <t xml:space="preserve">Koju, S.</t>
  </si>
  <si>
    <t xml:space="preserve">10.1007/978-3-032-08009-7_1</t>
  </si>
  <si>
    <t xml:space="preserve">S428</t>
  </si>
  <si>
    <t xml:space="preserve">Architecting Service-Dominant Digital Products</t>
  </si>
  <si>
    <t xml:space="preserve">10.1007/978-3-030-22559-9_3</t>
  </si>
  <si>
    <t xml:space="preserve">S429</t>
  </si>
  <si>
    <t xml:space="preserve">A model-based reinforcement learning framework for building heating management with branched rollout strategy and time-series prediction model</t>
  </si>
  <si>
    <t xml:space="preserve">Qu, K.</t>
  </si>
  <si>
    <t xml:space="preserve">Building Simulation</t>
  </si>
  <si>
    <t xml:space="preserve">10.1007/s12273-025-1288-9</t>
  </si>
  <si>
    <t xml:space="preserve">S430</t>
  </si>
  <si>
    <t xml:space="preserve">Deep Model-Based Reinforcement Learning for Predictive Control of Robotic Systems with Dense and Sparse Rewards</t>
  </si>
  <si>
    <t xml:space="preserve">Antonyshyn, L.</t>
  </si>
  <si>
    <t xml:space="preserve">Journal of Intelligent and Robotic Systems: Theory and Applications</t>
  </si>
  <si>
    <t xml:space="preserve">10.1007/s10846-024-02118-y</t>
  </si>
  <si>
    <t xml:space="preserve">S431</t>
  </si>
  <si>
    <t xml:space="preserve">WALL-E: World Alignment by NeuroSymbolic Learning improves World Model-based LLM Agents</t>
  </si>
  <si>
    <t xml:space="preserve">S432</t>
  </si>
  <si>
    <t xml:space="preserve">Virtual worlds at virtual conferences</t>
  </si>
  <si>
    <t xml:space="preserve">Stevens, V.</t>
  </si>
  <si>
    <t xml:space="preserve">TESL-EJ</t>
  </si>
  <si>
    <t xml:space="preserve">S433</t>
  </si>
  <si>
    <t xml:space="preserve">Learning Knowledge Graph-based World Models of Textual Environments</t>
  </si>
  <si>
    <t xml:space="preserve">S434</t>
  </si>
  <si>
    <t xml:space="preserve">Chance as an instrument of authorial manipulation: A narrative strategy for depicting the relationship between Self and Others in Vladimir Nabokov’s novel “Despair”</t>
  </si>
  <si>
    <t xml:space="preserve">Antonovich, V.V.</t>
  </si>
  <si>
    <t xml:space="preserve">Sibirskii Filologicheskii Zhurnal</t>
  </si>
  <si>
    <t xml:space="preserve">10.17223/18137083/95/6</t>
  </si>
  <si>
    <t xml:space="preserve">S435</t>
  </si>
  <si>
    <t xml:space="preserve">Designing Plots for Multiplayer Games with the Use of Graph Transformation Rules</t>
  </si>
  <si>
    <t xml:space="preserve">Palacz, W.</t>
  </si>
  <si>
    <t xml:space="preserve">10.1007/978-3-030-88207-5_21</t>
  </si>
  <si>
    <t xml:space="preserve">S436</t>
  </si>
  <si>
    <t xml:space="preserve">Gender Effects in Directed versus Incidental Learning in a 3D Virtual World Simulation</t>
  </si>
  <si>
    <t xml:space="preserve">Kahai, S.</t>
  </si>
  <si>
    <t xml:space="preserve">AIS Transactions on Human-Computer Interaction</t>
  </si>
  <si>
    <t xml:space="preserve">10.17705/1thci.00183</t>
  </si>
  <si>
    <t xml:space="preserve">S437</t>
  </si>
  <si>
    <t xml:space="preserve">Safe at any speed: A simulation-based test harness for autonomous vehicles</t>
  </si>
  <si>
    <t xml:space="preserve">Abbas, H.</t>
  </si>
  <si>
    <t xml:space="preserve">10.1007/978-3-030-17910-6_8</t>
  </si>
  <si>
    <t xml:space="preserve">S438</t>
  </si>
  <si>
    <t xml:space="preserve">A Sharp Analysis of Model-based Reinforcement Learning with Self-Play</t>
  </si>
  <si>
    <t xml:space="preserve">Liu, Q.</t>
  </si>
  <si>
    <t xml:space="preserve">S439</t>
  </si>
  <si>
    <t xml:space="preserve">Deep Hierarchical Planning from Pixels</t>
  </si>
  <si>
    <t xml:space="preserve">S440</t>
  </si>
  <si>
    <t xml:space="preserve">Verification of Multi-Model Stochastic Systems</t>
  </si>
  <si>
    <t xml:space="preserve">Proceedings - 2026 IEEE/ACM 48th International Conference on Software Engineering, ICSE 2026</t>
  </si>
  <si>
    <t xml:space="preserve">10.1145/3744916.3773253</t>
  </si>
  <si>
    <t xml:space="preserve">S441</t>
  </si>
  <si>
    <t xml:space="preserve">Reinforcement Learning Method with Internal World Model Training</t>
  </si>
  <si>
    <t xml:space="preserve">Hirata, K.</t>
  </si>
  <si>
    <t xml:space="preserve">Proceedings of the 2020 IEEE/SICE International Symposium on System Integration, SII 2020</t>
  </si>
  <si>
    <t xml:space="preserve">10.1109/sii46433.2020.9026225</t>
  </si>
  <si>
    <t xml:space="preserve">S442</t>
  </si>
  <si>
    <t xml:space="preserve">Filter Before Mixing: Per-Modality Denoising for Multimodal RL with Application to Health Management †</t>
  </si>
  <si>
    <t xml:space="preserve">Okita, T.</t>
  </si>
  <si>
    <t xml:space="preserve">10.3390/electronics15112361</t>
  </si>
  <si>
    <t xml:space="preserve">S443</t>
  </si>
  <si>
    <t xml:space="preserve">Probing the Impact of Scale on Data-Efficient, Generalist Transformer World Models for Atari</t>
  </si>
  <si>
    <t xml:space="preserve">S444</t>
  </si>
  <si>
    <t xml:space="preserve">Vehicle Dynamics Embedded World Models for Autonomous Driving</t>
  </si>
  <si>
    <t xml:space="preserve">Li, H.</t>
  </si>
  <si>
    <t xml:space="preserve">IEEE Transactions on Intelligent Transportation Systems</t>
  </si>
  <si>
    <t xml:space="preserve">10.1109/tits.2025.3629083</t>
  </si>
  <si>
    <t xml:space="preserve">S445</t>
  </si>
  <si>
    <t xml:space="preserve">Building a market simulation to teach business process analysis: effects of realism on engaged learning</t>
  </si>
  <si>
    <t xml:space="preserve">Peng, J.</t>
  </si>
  <si>
    <t xml:space="preserve">Accounting Education</t>
  </si>
  <si>
    <t xml:space="preserve">10.1080/09639284.2017.1407248</t>
  </si>
  <si>
    <t xml:space="preserve">S446</t>
  </si>
  <si>
    <t xml:space="preserve">Mesh simplification algorithms for rendering performance</t>
  </si>
  <si>
    <t xml:space="preserve">S447</t>
  </si>
  <si>
    <t xml:space="preserve">Lighted-SAM: Lightening Open-World SAM for Low-Light Segmentation</t>
  </si>
  <si>
    <t xml:space="preserve">Jia, Y.</t>
  </si>
  <si>
    <t xml:space="preserve">IEEE Transactions on Image Processing</t>
  </si>
  <si>
    <t xml:space="preserve">10.1109/tip.2026.3702382</t>
  </si>
  <si>
    <t xml:space="preserve">S448</t>
  </si>
  <si>
    <t xml:space="preserve">Unlocking Smarter Device Control: Foresighted Planning with a World Model-Driven Code Execution Approach</t>
  </si>
  <si>
    <t xml:space="preserve">Yin, X.</t>
  </si>
  <si>
    <t xml:space="preserve">10.18653/v1/2025.findings-emnlp.213</t>
  </si>
  <si>
    <t xml:space="preserve">S449</t>
  </si>
  <si>
    <t xml:space="preserve">NovaWM: An Action-Conditioned World Model for State Simulation in StarCraft II</t>
  </si>
  <si>
    <t xml:space="preserve">Zhang, C.</t>
  </si>
  <si>
    <t xml:space="preserve">Proceedings of 2026 3rd International Conference on Machine Learning, Natural Language Processing and Modeling, CMNM 2026</t>
  </si>
  <si>
    <t xml:space="preserve">10.1145/3832928.3832995</t>
  </si>
  <si>
    <t xml:space="preserve">S450</t>
  </si>
  <si>
    <t xml:space="preserve">Model-based Policy Optimization using Symbolic World Model</t>
  </si>
  <si>
    <t xml:space="preserve">10.1109/iros58592.2024.10801405</t>
  </si>
  <si>
    <t xml:space="preserve">S451</t>
  </si>
  <si>
    <t xml:space="preserve">Global sustainability crossroads: A participatory simulation game to educate in the energy and sustainability challenges of the 21st century</t>
  </si>
  <si>
    <t xml:space="preserve">Capellán-Pérez, I.</t>
  </si>
  <si>
    <t xml:space="preserve">10.3390/su11133672</t>
  </si>
  <si>
    <t xml:space="preserve">S452</t>
  </si>
  <si>
    <t xml:space="preserve">A novel model-based reinforcement learning algorithm for solving the problem of unbalanced reward</t>
  </si>
  <si>
    <t xml:space="preserve">Yuan, Y.</t>
  </si>
  <si>
    <t xml:space="preserve">10.3233/jifs-210956</t>
  </si>
  <si>
    <t xml:space="preserve">S453</t>
  </si>
  <si>
    <t xml:space="preserve">Causal Dynamics Learning for Task-Independent State Abstraction</t>
  </si>
  <si>
    <t xml:space="preserve">S454</t>
  </si>
  <si>
    <t xml:space="preserve">Empowering Multimodal Large Language Model as A Small Rule-Abiding World Simulator</t>
  </si>
  <si>
    <t xml:space="preserve">Wang, X.</t>
  </si>
  <si>
    <t xml:space="preserve">IEEE International Conference on Intelligence and Security Informatics, ISI</t>
  </si>
  <si>
    <t xml:space="preserve">10.1109/isi65680.2025.11201203</t>
  </si>
  <si>
    <t xml:space="preserve">S455</t>
  </si>
  <si>
    <t xml:space="preserve">BECOME A PROFICIENT PLAYER WITH LIMITED DATA THROUGH WATCHING PURE VIDEOS</t>
  </si>
  <si>
    <t xml:space="preserve">Ye, W.</t>
  </si>
  <si>
    <t xml:space="preserve">S456</t>
  </si>
  <si>
    <t xml:space="preserve">Embodying the Police: The Effects of Enclothed Cognition on Shooting Decisions</t>
  </si>
  <si>
    <t xml:space="preserve">Mendoza, S.A.</t>
  </si>
  <si>
    <t xml:space="preserve">Psychological Reports</t>
  </si>
  <si>
    <t xml:space="preserve">10.1177/0033294119860261</t>
  </si>
  <si>
    <t xml:space="preserve">S457</t>
  </si>
  <si>
    <t xml:space="preserve">Vrbox: A virtual reality augmented sandbox for immersive playfulness, creativity and exploration</t>
  </si>
  <si>
    <t xml:space="preserve">Fröhlich, T.</t>
  </si>
  <si>
    <t xml:space="preserve">CHI PLAY 2018 - Proceedings of the 2018 Annual Symposium on Computer-Human Interaction in Play</t>
  </si>
  <si>
    <t xml:space="preserve">10.1145/3242671.3242697</t>
  </si>
  <si>
    <t xml:space="preserve">S458</t>
  </si>
  <si>
    <t xml:space="preserve">Delving Into Multi-Modal Multi-Task Foundation Models for Road Scene Understanding: From Learning Paradigm Perspectives</t>
  </si>
  <si>
    <t xml:space="preserve">Luo, S.</t>
  </si>
  <si>
    <t xml:space="preserve">10.1109/tiv.2024.3406372</t>
  </si>
  <si>
    <t xml:space="preserve">S459</t>
  </si>
  <si>
    <t xml:space="preserve">Human-level learning of complex novel tasks as theory-based modelling, exploration and planning</t>
  </si>
  <si>
    <t xml:space="preserve">Tsividis, P.</t>
  </si>
  <si>
    <t xml:space="preserve">Philosophical transactions. Series A, Mathematical, physical, and engineering sciences</t>
  </si>
  <si>
    <t xml:space="preserve">10.1098/rsta.2024.0529</t>
  </si>
  <si>
    <t xml:space="preserve">S460</t>
  </si>
  <si>
    <t xml:space="preserve">Variational Causal Dynamics: Discovering Modular World Models from Interventions</t>
  </si>
  <si>
    <t xml:space="preserve">Lei, A.</t>
  </si>
  <si>
    <t xml:space="preserve">S461</t>
  </si>
  <si>
    <t xml:space="preserve">MARS: A FINANCIAL MARKET SIMULATION ENGINE POWERED BY GENERATIVE FOUNDATION MODEL</t>
  </si>
  <si>
    <t xml:space="preserve">Li, J.</t>
  </si>
  <si>
    <t xml:space="preserve">S462</t>
  </si>
  <si>
    <t xml:space="preserve">High-accuracy model-based reinforcement learning, a survey</t>
  </si>
  <si>
    <t xml:space="preserve">Plaat, A.</t>
  </si>
  <si>
    <t xml:space="preserve">Artificial Intelligence Review</t>
  </si>
  <si>
    <t xml:space="preserve">10.1007/s10462-022-10335-w</t>
  </si>
  <si>
    <t xml:space="preserve">S463</t>
  </si>
  <si>
    <t xml:space="preserve">Crosston Tavern: Modulating Autonomous Characters Behaviour through Player-NPC Conversation</t>
  </si>
  <si>
    <t xml:space="preserve">Oliver, E.</t>
  </si>
  <si>
    <t xml:space="preserve">17th AAAI Conference on Artificial Intelligence and Interactive Digital Entertainment, AIIDE 2021</t>
  </si>
  <si>
    <t xml:space="preserve">10.1609/aiide.v17i1.18906</t>
  </si>
  <si>
    <t xml:space="preserve">S464</t>
  </si>
  <si>
    <t xml:space="preserve">Smaller World Models for Reinforcement Learning</t>
  </si>
  <si>
    <t xml:space="preserve">Neural Processing Letters</t>
  </si>
  <si>
    <t xml:space="preserve">10.1007/s11063-023-11381-3</t>
  </si>
  <si>
    <t xml:space="preserve">S465</t>
  </si>
  <si>
    <t xml:space="preserve">Proposal for the Implementation of Spatial Common Ground and Spatial AI using the SSCP (Spatial Simulation-based Cyber-Physical) Model</t>
  </si>
  <si>
    <t xml:space="preserve">Miyake, Y.</t>
  </si>
  <si>
    <t xml:space="preserve">Proceedings of 2023 IEEE International Smart Cities Conference, ISC2 2023</t>
  </si>
  <si>
    <t xml:space="preserve">10.1109/isc257844.2023.10293487</t>
  </si>
  <si>
    <t xml:space="preserve">S466</t>
  </si>
  <si>
    <t xml:space="preserve">Learning a World Model With Multitimescale Memory Augmentation</t>
  </si>
  <si>
    <t xml:space="preserve">Cai, W.</t>
  </si>
  <si>
    <t xml:space="preserve">10.1109/tnnls.2022.3151412</t>
  </si>
  <si>
    <t xml:space="preserve">S467</t>
  </si>
  <si>
    <t xml:space="preserve">Increasing sample efficiency in deep reinforcement learning using generative environment modelling</t>
  </si>
  <si>
    <t xml:space="preserve">Expert Systems</t>
  </si>
  <si>
    <t xml:space="preserve">10.1111/exsy.12537</t>
  </si>
  <si>
    <t xml:space="preserve">S468</t>
  </si>
  <si>
    <t xml:space="preserve">OPEN-WORLD REINFORCEMENT LEARNING OVER LONG SHORT-TERM IMAGINATION</t>
  </si>
  <si>
    <t xml:space="preserve">S469</t>
  </si>
  <si>
    <t xml:space="preserve">Multi-step Greedy Reinforcement Learning Algorithms</t>
  </si>
  <si>
    <t xml:space="preserve">Tomar, M.</t>
  </si>
  <si>
    <t xml:space="preserve">S470</t>
  </si>
  <si>
    <t xml:space="preserve">BYTESIZED32: A Corpus and Challenge Task for Generating Task-Specific World Models Expressed as Text Games</t>
  </si>
  <si>
    <t xml:space="preserve">EMNLP 2023 - 2023 Conference on Empirical Methods in Natural Language Processing, Proceedings</t>
  </si>
  <si>
    <t xml:space="preserve">10.18653/v1/2023.emnlp-main.830</t>
  </si>
  <si>
    <t xml:space="preserve">S471</t>
  </si>
  <si>
    <t xml:space="preserve">Scopus; IEEE Xplore; ACM DL</t>
  </si>
  <si>
    <t xml:space="preserve">Lightning Talk: Trinity - Assured Neuro-symbolic Model Inspired by Hierarchical Predictive Coding</t>
  </si>
  <si>
    <t xml:space="preserve">Jha, S.</t>
  </si>
  <si>
    <t xml:space="preserve">Proceedings - Design Automation Conference</t>
  </si>
  <si>
    <t xml:space="preserve">10.1109/dac56929.2023.10247803</t>
  </si>
  <si>
    <t xml:space="preserve">S472</t>
  </si>
  <si>
    <t xml:space="preserve">Autonomous Vehicle Navigation Using Deep Learning</t>
  </si>
  <si>
    <t xml:space="preserve">Kumar, S.</t>
  </si>
  <si>
    <t xml:space="preserve">2025 IEEE Guwahati Subsection Conference, GCON 2025</t>
  </si>
  <si>
    <t xml:space="preserve">10.1109/gcon65540.2025.11173310</t>
  </si>
  <si>
    <t xml:space="preserve">S473</t>
  </si>
  <si>
    <t xml:space="preserve">LEARNING TO SEARCH FROM DEMONSTRATION SEQUENCES</t>
  </si>
  <si>
    <t xml:space="preserve">Mittal, D.</t>
  </si>
  <si>
    <t xml:space="preserve">S474</t>
  </si>
  <si>
    <t xml:space="preserve">A Continual Offline Reinforcement Learning Benchmark for Navigation Tasks</t>
  </si>
  <si>
    <t xml:space="preserve">Kobanda, A.</t>
  </si>
  <si>
    <t xml:space="preserve">10.1109/cog64752.2025.11114167</t>
  </si>
  <si>
    <t xml:space="preserve">S475</t>
  </si>
  <si>
    <t xml:space="preserve">AGI-Guided Reinforcement Learning for Intelligent Resource Control in Future Wireless Systems</t>
  </si>
  <si>
    <t xml:space="preserve">Singh, H.</t>
  </si>
  <si>
    <t xml:space="preserve">Proceedings of 7th International Conference on Smart Systems and Inventive Technology, ICSSIT 2026</t>
  </si>
  <si>
    <t xml:space="preserve">10.1109/icssit69151.2026.11656419</t>
  </si>
  <si>
    <t xml:space="preserve">S476</t>
  </si>
  <si>
    <t xml:space="preserve">Efficient Real-Time Rendering and Optimization Using DirectX12 for Unreal Engine Graphics</t>
  </si>
  <si>
    <t xml:space="preserve">Zheng, H.</t>
  </si>
  <si>
    <t xml:space="preserve">Advances in Transdisciplinary Engineering</t>
  </si>
  <si>
    <t xml:space="preserve">10.3233/atde250803</t>
  </si>
  <si>
    <t xml:space="preserve">S477</t>
  </si>
  <si>
    <t xml:space="preserve">EVaDE: Event-Based Variational Thompson Sampling for Model-Based Reinforcement Learning</t>
  </si>
  <si>
    <t xml:space="preserve">Aravindan, S.</t>
  </si>
  <si>
    <t xml:space="preserve">S478</t>
  </si>
  <si>
    <t xml:space="preserve">MASTERING ATARI WITH DISCRETE WORLD MODELS</t>
  </si>
  <si>
    <t xml:space="preserve">S479</t>
  </si>
  <si>
    <t xml:space="preserve">World Model Agents with Change-Based Intrinsic Motivation</t>
  </si>
  <si>
    <t xml:space="preserve">Ferrao, J.</t>
  </si>
  <si>
    <t xml:space="preserve">S480</t>
  </si>
  <si>
    <t xml:space="preserve">Review of Video Games &amp; Simulation in Computer Science Education</t>
  </si>
  <si>
    <t xml:space="preserve">Weymouth, J.</t>
  </si>
  <si>
    <t xml:space="preserve">Proceedings - 2022 International Conference on Computational Science and Computational Intelligence, CSCI 2022</t>
  </si>
  <si>
    <t xml:space="preserve">10.1109/csci58124.2022.00376</t>
  </si>
  <si>
    <t xml:space="preserve">S481</t>
  </si>
  <si>
    <t xml:space="preserve">Open-World Learning under Dataset Shift</t>
  </si>
  <si>
    <t xml:space="preserve">Srey, P.</t>
  </si>
  <si>
    <t xml:space="preserve">Proceedings - 2024 IEEE Conference on Artificial Intelligence, CAI 2024</t>
  </si>
  <si>
    <t xml:space="preserve">10.1109/cai59869.2024.00188</t>
  </si>
  <si>
    <t xml:space="preserve">S482</t>
  </si>
  <si>
    <t xml:space="preserve">Synthesizing Realistic Cracked Terrain for Virtual Arid Environment Generation</t>
  </si>
  <si>
    <t xml:space="preserve">Li, W.</t>
  </si>
  <si>
    <t xml:space="preserve">Proceedings - 2023 8th International Conference on Communication, Image and Signal Processing, CCISP 2023</t>
  </si>
  <si>
    <t xml:space="preserve">10.1109/ccisp59915.2023.10355686</t>
  </si>
  <si>
    <t xml:space="preserve">S483</t>
  </si>
  <si>
    <t xml:space="preserve">Carrier Adjustment Algorithm for Mobile Communication Network Based on Deep Reinforcement Learning</t>
  </si>
  <si>
    <t xml:space="preserve">Lecture Notes in Networks and Systems</t>
  </si>
  <si>
    <t xml:space="preserve">10.1007/978-3-031-55848-1_11</t>
  </si>
  <si>
    <t xml:space="preserve">S484</t>
  </si>
  <si>
    <t xml:space="preserve">Pursuit-Evasion Game for AAV Anti-Jamming Communications: An Opponent Modeling Based Reinforcement Learning Approach</t>
  </si>
  <si>
    <t xml:space="preserve">Yin, Z.</t>
  </si>
  <si>
    <t xml:space="preserve">IEEE Transactions on Mobile Computing</t>
  </si>
  <si>
    <t xml:space="preserve">10.1109/tmc.2026.3678748</t>
  </si>
  <si>
    <t xml:space="preserve">S485</t>
  </si>
  <si>
    <t xml:space="preserve">Model-Based Reinforcement Learning in Differential Graphical Games</t>
  </si>
  <si>
    <t xml:space="preserve">Kamalapurkar, R.</t>
  </si>
  <si>
    <t xml:space="preserve">IEEE Transactions on Control of Network Systems</t>
  </si>
  <si>
    <t xml:space="preserve">10.1109/tcns.2016.2617622</t>
  </si>
  <si>
    <t xml:space="preserve">S486</t>
  </si>
  <si>
    <t xml:space="preserve">Efficient Reinforcement Learning for StarCraft by Abstract Forward Models and Transfer Learning</t>
  </si>
  <si>
    <t xml:space="preserve">Liu, R.-Z.</t>
  </si>
  <si>
    <t xml:space="preserve">IEEE Transactions on Games</t>
  </si>
  <si>
    <t xml:space="preserve">10.1109/tg.2021.3071162</t>
  </si>
  <si>
    <t xml:space="preserve">S487</t>
  </si>
  <si>
    <t xml:space="preserve">same title</t>
  </si>
  <si>
    <t xml:space="preserve">Multi-step greedy reinforcement learning algorithms</t>
  </si>
  <si>
    <t xml:space="preserve">S488</t>
  </si>
  <si>
    <t xml:space="preserve">Bootstrap estimated uncertainty of the environment model for model-based reinforcement learning</t>
  </si>
  <si>
    <t xml:space="preserve">Huang, W.</t>
  </si>
  <si>
    <t xml:space="preserve">10.1609/aaai.v33i01.33013870</t>
  </si>
  <si>
    <t xml:space="preserve">S489</t>
  </si>
  <si>
    <t xml:space="preserve">Multiagent Model-based Credit Assignment for Continuous Control</t>
  </si>
  <si>
    <t xml:space="preserve">Han, D.</t>
  </si>
  <si>
    <t xml:space="preserve">S490</t>
  </si>
  <si>
    <t xml:space="preserve">UNBOUNDED: A GENERATIVE INFINITE GAME OF CHARACTER LIFE SIMULATION</t>
  </si>
  <si>
    <t xml:space="preserve">S491</t>
  </si>
  <si>
    <t xml:space="preserve">A game theoretic model for the formation of navigable small-world networks-the tradeoff between distance and reciprocity</t>
  </si>
  <si>
    <t xml:space="preserve">Yang, Z.</t>
  </si>
  <si>
    <t xml:space="preserve">ACM Transactions on Internet Technology</t>
  </si>
  <si>
    <t xml:space="preserve">10.1145/3183325</t>
  </si>
  <si>
    <t xml:space="preserve">I001</t>
  </si>
  <si>
    <t xml:space="preserve">IEEE Xplore</t>
  </si>
  <si>
    <t xml:space="preserve">T. Bi</t>
  </si>
  <si>
    <t xml:space="preserve">2024 IEEE International Conference on Robotics and Automation (ICRA)</t>
  </si>
  <si>
    <t xml:space="preserve">I002</t>
  </si>
  <si>
    <t xml:space="preserve">M. Cao</t>
  </si>
  <si>
    <t xml:space="preserve">2025 International Conference on Machine Learning and Applications (ICMLA)</t>
  </si>
  <si>
    <t xml:space="preserve">I003</t>
  </si>
  <si>
    <t xml:space="preserve">Model-Based or Model-Free, a Review of Approaches in Reinforcement Learning</t>
  </si>
  <si>
    <t xml:space="preserve">Q. Huang</t>
  </si>
  <si>
    <t xml:space="preserve">2020 International Conference on Computing and Data Science (CDS)</t>
  </si>
  <si>
    <t xml:space="preserve">I004</t>
  </si>
  <si>
    <t xml:space="preserve">F. Abuhashish</t>
  </si>
  <si>
    <t xml:space="preserve">2026 2nd International Conference on Computational Intelligence Approaches and Applications (ICCIAA)</t>
  </si>
  <si>
    <t xml:space="preserve">I005</t>
  </si>
  <si>
    <t xml:space="preserve">Predicting Other’s Minds Using Model-based Reinforcement Learning</t>
  </si>
  <si>
    <t xml:space="preserve">H. Joo</t>
  </si>
  <si>
    <t xml:space="preserve">2022 Joint 12th International Conference on Soft Computing and Intelligent Systems and 23rd International Symposium on Advanced Intelligent Systems (SCIS&amp;ISIS)</t>
  </si>
  <si>
    <t xml:space="preserve">I006</t>
  </si>
  <si>
    <t xml:space="preserve">N. Hafizah</t>
  </si>
  <si>
    <t xml:space="preserve">2024 20th IEEE International Colloquium on Signal Processing &amp; Its Applications (CSPA)</t>
  </si>
  <si>
    <t xml:space="preserve">I007</t>
  </si>
  <si>
    <t xml:space="preserve">C. -V. Pal</t>
  </si>
  <si>
    <t xml:space="preserve">2020 24th International Conference on System Theory, Control and Computing (ICSTCC)</t>
  </si>
  <si>
    <t xml:space="preserve">I008</t>
  </si>
  <si>
    <t xml:space="preserve">Game State Prediction with Ensemble of Machine Learning Techniques</t>
  </si>
  <si>
    <t xml:space="preserve">S. -M. Woh</t>
  </si>
  <si>
    <t xml:space="preserve">2018 Joint 10th International Conference on Soft Computing and Intelligent Systems (SCIS) and 19th International Symposium on Advanced Intelligent Systems (ISIS)</t>
  </si>
  <si>
    <t xml:space="preserve">I009</t>
  </si>
  <si>
    <t xml:space="preserve">J. D. Cárdenas</t>
  </si>
  <si>
    <t xml:space="preserve">2025 44th International Conference of the Chilean Computer Science Society (SCCC)</t>
  </si>
  <si>
    <t xml:space="preserve">I010</t>
  </si>
  <si>
    <t xml:space="preserve">Uncertainty-Aware Model-Based Reinforcement Learning: Methodology and Application in Autonomous Driving</t>
  </si>
  <si>
    <t xml:space="preserve">J. Wu</t>
  </si>
  <si>
    <t xml:space="preserve">10.1109/tiv.2022.3185159</t>
  </si>
  <si>
    <t xml:space="preserve">I011</t>
  </si>
  <si>
    <t xml:space="preserve">MaxEnt Dreamer: Maximum Entropy Reinforcement Learning with World Model</t>
  </si>
  <si>
    <t xml:space="preserve">H. Ma</t>
  </si>
  <si>
    <t xml:space="preserve">2022 International Joint Conference on Neural Networks (IJCNN)</t>
  </si>
  <si>
    <t xml:space="preserve">10.1109/ijcnn55064.2022.9892381</t>
  </si>
  <si>
    <t xml:space="preserve">I012</t>
  </si>
  <si>
    <t xml:space="preserve">Y. Dong</t>
  </si>
  <si>
    <t xml:space="preserve">2024 7th International Conference on Information Communication and Signal Processing (ICICSP)</t>
  </si>
  <si>
    <t xml:space="preserve">I013</t>
  </si>
  <si>
    <t xml:space="preserve">Model-Based Reinforcement Learning for Robotic Arm Control with Limited Environment Interaction</t>
  </si>
  <si>
    <t xml:space="preserve">Y. Chen</t>
  </si>
  <si>
    <t xml:space="preserve">2023 IEEE 13th International Conference on CYBER Technology in Automation, Control, and Intelligent Systems (CYBER)</t>
  </si>
  <si>
    <t xml:space="preserve">10.1109/cyber59472.2023.10256476</t>
  </si>
  <si>
    <t xml:space="preserve">I014</t>
  </si>
  <si>
    <t xml:space="preserve">V. V. Bazhenov</t>
  </si>
  <si>
    <t xml:space="preserve">2025 7th International Youth Conference on Radio Electronics, Electrical and Power Engineering (REEPE)</t>
  </si>
  <si>
    <t xml:space="preserve">I015</t>
  </si>
  <si>
    <t xml:space="preserve">R. Kamalapurkar</t>
  </si>
  <si>
    <t xml:space="preserve">I016</t>
  </si>
  <si>
    <t xml:space="preserve">K. Hirata</t>
  </si>
  <si>
    <t xml:space="preserve">2020 IEEE/SICE International Symposium on System Integration (SII)</t>
  </si>
  <si>
    <t xml:space="preserve">I017</t>
  </si>
  <si>
    <t xml:space="preserve">Bootstrapped model learning and error correction for planning with uncertainty in model-based RL</t>
  </si>
  <si>
    <t xml:space="preserve">A. Ovalle</t>
  </si>
  <si>
    <t xml:space="preserve">2020 IEEE Conference on Games (CoG)</t>
  </si>
  <si>
    <t xml:space="preserve">10.1109/cog47356.2020.9231599</t>
  </si>
  <si>
    <t xml:space="preserve">I018</t>
  </si>
  <si>
    <t xml:space="preserve">General Pacman AI: Game Agent With Tree Search, Adversarial Search And Model-Based RL Algorithms</t>
  </si>
  <si>
    <t xml:space="preserve">Y. Zou</t>
  </si>
  <si>
    <t xml:space="preserve">2021 2nd International Conference on Big Data &amp; Artificial Intelligence &amp; Software Engineering (ICBASE)</t>
  </si>
  <si>
    <t xml:space="preserve">I019</t>
  </si>
  <si>
    <t xml:space="preserve">DWC-PO: Dynamic Weight Constraints for Model-Based Policy Optimization via Wasserstein Policy Improvement Bounds</t>
  </si>
  <si>
    <t xml:space="preserve">Y. Wang</t>
  </si>
  <si>
    <t xml:space="preserve">ICASSP 2026 - 2026 IEEE International Conference on Acoustics, Speech and Signal Processing (ICASSP)</t>
  </si>
  <si>
    <t xml:space="preserve">10.1109/icassp55912.2026.11464085</t>
  </si>
  <si>
    <t xml:space="preserve">I020</t>
  </si>
  <si>
    <t xml:space="preserve">A Model-Based Exploration Policy in Deep Q-Network</t>
  </si>
  <si>
    <t xml:space="preserve">S. Li</t>
  </si>
  <si>
    <t xml:space="preserve">2021 International Conference on Digital Society and Intelligent Systems (DSInS)</t>
  </si>
  <si>
    <t xml:space="preserve">10.1109/dsins54396.2021.9670573</t>
  </si>
  <si>
    <t xml:space="preserve">I021</t>
  </si>
  <si>
    <t xml:space="preserve">Unity ML-Agents: Revolutionizing Gaming Through Reinforcement Learning</t>
  </si>
  <si>
    <t xml:space="preserve">U. Raut</t>
  </si>
  <si>
    <t xml:space="preserve">2024 2nd World Conference on Communication &amp; Computing (WCONF)</t>
  </si>
  <si>
    <t xml:space="preserve">10.1109/wconf61366.2024.10692314</t>
  </si>
  <si>
    <t xml:space="preserve">I022</t>
  </si>
  <si>
    <t xml:space="preserve">M. Baklizi</t>
  </si>
  <si>
    <t xml:space="preserve">I023</t>
  </si>
  <si>
    <t xml:space="preserve">J. Scholz</t>
  </si>
  <si>
    <t xml:space="preserve">2021 International Joint Conference on Neural Networks (IJCNN)</t>
  </si>
  <si>
    <t xml:space="preserve">I024</t>
  </si>
  <si>
    <t xml:space="preserve">Immersive Adventure Games Development using 360-degree video</t>
  </si>
  <si>
    <t xml:space="preserve">F. Pinho</t>
  </si>
  <si>
    <t xml:space="preserve">2021 International Conference on Graphics and Interaction (ICGI)</t>
  </si>
  <si>
    <t xml:space="preserve">10.1109/icgi54032.2021.9655280</t>
  </si>
  <si>
    <t xml:space="preserve">I025</t>
  </si>
  <si>
    <t xml:space="preserve">Inverse Reinforcement Learning for Adversarial Apprentice Games</t>
  </si>
  <si>
    <t xml:space="preserve">B. Lian</t>
  </si>
  <si>
    <t xml:space="preserve">10.1109/tnnls.2021.3114612</t>
  </si>
  <si>
    <t xml:space="preserve">I026</t>
  </si>
  <si>
    <t xml:space="preserve">T. Wolgast</t>
  </si>
  <si>
    <t xml:space="preserve">I027</t>
  </si>
  <si>
    <t xml:space="preserve">Beyond Visual Range Missile Evasion with Model-based Reinforcement Learning</t>
  </si>
  <si>
    <t xml:space="preserve">A. T. Çetin</t>
  </si>
  <si>
    <t xml:space="preserve">2026 12th International Conference on Control, Decision and Information Technologies (CoDIT)</t>
  </si>
  <si>
    <t xml:space="preserve">10.1109/codit70676.2026.11631010</t>
  </si>
  <si>
    <t xml:space="preserve">I028</t>
  </si>
  <si>
    <t xml:space="preserve">J. Wang</t>
  </si>
  <si>
    <t xml:space="preserve">2026 3rd International Conference on Image Processing, Multimedia Technology and Machine Learning (IPMML)</t>
  </si>
  <si>
    <t xml:space="preserve">I029</t>
  </si>
  <si>
    <t xml:space="preserve">Neural Game Engine: Accurate learning of generalizable forward models from pixels</t>
  </si>
  <si>
    <t xml:space="preserve">C. Bamford</t>
  </si>
  <si>
    <t xml:space="preserve">I030</t>
  </si>
  <si>
    <t xml:space="preserve">Z. Ye</t>
  </si>
  <si>
    <t xml:space="preserve">I031</t>
  </si>
  <si>
    <t xml:space="preserve">Reinforcement Learning with Neural Network-based Deterministic Game Tree Approximation</t>
  </si>
  <si>
    <t xml:space="preserve">K. Prakash</t>
  </si>
  <si>
    <t xml:space="preserve">2023 IEEE Ninth International Conference on Big Data Computing Service and Applications (BigDataService)</t>
  </si>
  <si>
    <t xml:space="preserve">10.1109/bigdataservice58306.2023.00039</t>
  </si>
  <si>
    <t xml:space="preserve">I032</t>
  </si>
  <si>
    <t xml:space="preserve">A. Gorodetskiy</t>
  </si>
  <si>
    <t xml:space="preserve">2024 IEEE/RSJ International Conference on Intelligent Robots and Systems (IROS)</t>
  </si>
  <si>
    <t xml:space="preserve">I033</t>
  </si>
  <si>
    <t xml:space="preserve">Optimal Control for Positive Systems Using Linear Programming</t>
  </si>
  <si>
    <t xml:space="preserve">P. Zhu</t>
  </si>
  <si>
    <t xml:space="preserve">2025 IEEE 5th International Conference on Computer Communication and Artificial Intelligence (CCAI)</t>
  </si>
  <si>
    <t xml:space="preserve">10.1109/ccai65422.2025.11189852</t>
  </si>
  <si>
    <t xml:space="preserve">I034</t>
  </si>
  <si>
    <t xml:space="preserve">Off-Policy Reinforcement Learning for $H_\infty$ Control of Linear Discrete-Time Systems With Network-Induced Dropouts</t>
  </si>
  <si>
    <t xml:space="preserve">Y. Jiang</t>
  </si>
  <si>
    <t xml:space="preserve">I035</t>
  </si>
  <si>
    <t xml:space="preserve">A Model-Based Reinforcement Learning Algorithm for Multi-Agent Cooperation Nash Equilibrium With Unstable Communication</t>
  </si>
  <si>
    <t xml:space="preserve">IEEE Transactions on Circuits and Systems II: Express Briefs</t>
  </si>
  <si>
    <t xml:space="preserve">10.1109/tcsii.2023.3263297</t>
  </si>
  <si>
    <t xml:space="preserve">I036</t>
  </si>
  <si>
    <t xml:space="preserve">Disentangling Controllable Object Through Video Prediction Improves Visual Reinforcement Learning</t>
  </si>
  <si>
    <t xml:space="preserve">Y. Zhong</t>
  </si>
  <si>
    <t xml:space="preserve">ICASSP 2020 - 2020 IEEE International Conference on Acoustics, Speech and Signal Processing (ICASSP)</t>
  </si>
  <si>
    <t xml:space="preserve">10.1109/icassp40776.2020.9053819</t>
  </si>
  <si>
    <t xml:space="preserve">I037</t>
  </si>
  <si>
    <t xml:space="preserve">Single and Multi-Agent Deep Reinforcement Learning for AI-Enabled Wireless Networks: A Tutorial</t>
  </si>
  <si>
    <t xml:space="preserve">A. Feriani</t>
  </si>
  <si>
    <t xml:space="preserve">IEEE Communications Surveys &amp; Tutorials</t>
  </si>
  <si>
    <t xml:space="preserve">10.1109/comst.2021.3063822</t>
  </si>
  <si>
    <t xml:space="preserve">I038</t>
  </si>
  <si>
    <t xml:space="preserve">S. Akbar</t>
  </si>
  <si>
    <t xml:space="preserve">2024 IEEE Radar Conference (RadarConf24)</t>
  </si>
  <si>
    <t xml:space="preserve">I039</t>
  </si>
  <si>
    <t xml:space="preserve">Multiagent Graphical Games With Inverse Reinforcement Learning</t>
  </si>
  <si>
    <t xml:space="preserve">V. S. Donge</t>
  </si>
  <si>
    <t xml:space="preserve">10.1109/tcns.2022.3210856</t>
  </si>
  <si>
    <t xml:space="preserve">I040</t>
  </si>
  <si>
    <t xml:space="preserve">Game-Theoretic Deep Reinforcement Learning to Minimize Carbon Emissions and Energy Costs for AI Inference Workloads in Geo-Distributed Data Centers</t>
  </si>
  <si>
    <t xml:space="preserve">N. Hogade</t>
  </si>
  <si>
    <t xml:space="preserve">IEEE Transactions on Sustainable Computing</t>
  </si>
  <si>
    <t xml:space="preserve">10.1109/tsusc.2024.3520969</t>
  </si>
  <si>
    <t xml:space="preserve">I041</t>
  </si>
  <si>
    <t xml:space="preserve">D. Luipers</t>
  </si>
  <si>
    <t xml:space="preserve">2022 IEEE International Conference on Development and Learning (ICDL)</t>
  </si>
  <si>
    <t xml:space="preserve">I042</t>
  </si>
  <si>
    <t xml:space="preserve">Distributed Minmax Strategy for Multiplayer Games: Stability, Robustness, and Algorithms</t>
  </si>
  <si>
    <t xml:space="preserve">10.1109/tnnls.2022.3215629</t>
  </si>
  <si>
    <t xml:space="preserve">I043</t>
  </si>
  <si>
    <t xml:space="preserve">Q. Wang</t>
  </si>
  <si>
    <t xml:space="preserve">I044</t>
  </si>
  <si>
    <t xml:space="preserve">Ineligible type</t>
  </si>
  <si>
    <t xml:space="preserve">Wiley-IEEE Press eBook Chapters</t>
  </si>
  <si>
    <t xml:space="preserve">Books in the IEEE Press Series on Control Systems Theory and Applications</t>
  </si>
  <si>
    <t xml:space="preserve">M. Farsi</t>
  </si>
  <si>
    <t xml:space="preserve">Model-Based Reinforcement Learning: From Data to Continuous Actions with a Python-based Toolbox</t>
  </si>
  <si>
    <t xml:space="preserve">Book chapter</t>
  </si>
  <si>
    <t xml:space="preserve">10.1002/9781119808602.series</t>
  </si>
  <si>
    <t xml:space="preserve">I045</t>
  </si>
  <si>
    <t xml:space="preserve">Towards modeling structures of the game worlds by systems of graphs</t>
  </si>
  <si>
    <t xml:space="preserve">E. Grabska</t>
  </si>
  <si>
    <t xml:space="preserve">2021 International Conference on Engineering and Emerging Technologies (ICEET)</t>
  </si>
  <si>
    <t xml:space="preserve">10.1109/iceet53442.2021.9659491</t>
  </si>
  <si>
    <t xml:space="preserve">I046</t>
  </si>
  <si>
    <t xml:space="preserve">Z. Liu</t>
  </si>
  <si>
    <t xml:space="preserve">I047</t>
  </si>
  <si>
    <t xml:space="preserve">R. -Z. Liu</t>
  </si>
  <si>
    <t xml:space="preserve">I048</t>
  </si>
  <si>
    <t xml:space="preserve">W. Cai</t>
  </si>
  <si>
    <t xml:space="preserve">I049</t>
  </si>
  <si>
    <t xml:space="preserve">The Structured use of ML Technique in Creation of Powerful 7-D based Gaming Tools</t>
  </si>
  <si>
    <t xml:space="preserve">S. Muthubalaji</t>
  </si>
  <si>
    <t xml:space="preserve">2024 4th International Conference on Advance Computing and Innovative Technologies in Engineering (ICACITE)</t>
  </si>
  <si>
    <t xml:space="preserve">10.1109/icacite60783.2024.10617145</t>
  </si>
  <si>
    <t xml:space="preserve">I050</t>
  </si>
  <si>
    <t xml:space="preserve">S. Wang</t>
  </si>
  <si>
    <t xml:space="preserve">2025 IEEE/RSJ International Conference on Intelligent Robots and Systems (IROS)</t>
  </si>
  <si>
    <t xml:space="preserve">I051</t>
  </si>
  <si>
    <t xml:space="preserve">I052</t>
  </si>
  <si>
    <t xml:space="preserve">D. Li</t>
  </si>
  <si>
    <t xml:space="preserve">2021 IEEE 10th Data Driven Control and Learning Systems Conference (DDCLS)</t>
  </si>
  <si>
    <t xml:space="preserve">I053</t>
  </si>
  <si>
    <t xml:space="preserve">Inverse Reinforcement Learning for Multi-player Apprentice Games in Continuous-Time Nonlinear Systems</t>
  </si>
  <si>
    <t xml:space="preserve">2021 60th IEEE Conference on Decision and Control (CDC)</t>
  </si>
  <si>
    <t xml:space="preserve">10.1109/cdc45484.2021.9682909</t>
  </si>
  <si>
    <t xml:space="preserve">I054</t>
  </si>
  <si>
    <t xml:space="preserve">Deep Reinforcement Learning for Autonomous Robot Navigation in Dynamic Environments</t>
  </si>
  <si>
    <t xml:space="preserve">A. K. Farooqui</t>
  </si>
  <si>
    <t xml:space="preserve">2023 Seventh International Conference on Image Information Processing (ICIIP)</t>
  </si>
  <si>
    <t xml:space="preserve">10.1109/iciip61524.2023.10537720</t>
  </si>
  <si>
    <t xml:space="preserve">I055</t>
  </si>
  <si>
    <t xml:space="preserve">Advances in Decision-Making for Autonomous Vehicles: A Review</t>
  </si>
  <si>
    <t xml:space="preserve">Y. Zhou</t>
  </si>
  <si>
    <t xml:space="preserve">2023 7th CAA International Conference on Vehicular Control and Intelligence (CVCI)</t>
  </si>
  <si>
    <t xml:space="preserve">10.1109/cvci59596.2023.10397250</t>
  </si>
  <si>
    <t xml:space="preserve">I056</t>
  </si>
  <si>
    <t xml:space="preserve">Y. Lan</t>
  </si>
  <si>
    <t xml:space="preserve">I057</t>
  </si>
  <si>
    <t xml:space="preserve">Reinforcement Learning Approach for Dialogue Management to Aid Child-Robot Interaction in ASD Screening</t>
  </si>
  <si>
    <t xml:space="preserve">H. Abayakoon</t>
  </si>
  <si>
    <t xml:space="preserve">2023 6th International Conference on Artificial Intelligence and Big Data (ICAIBD)</t>
  </si>
  <si>
    <t xml:space="preserve">10.1109/icaibd57115.2023.10206343</t>
  </si>
  <si>
    <t xml:space="preserve">I058</t>
  </si>
  <si>
    <t xml:space="preserve">Enhancing Scalability in Reinforcement Learning for Open Spaces</t>
  </si>
  <si>
    <t xml:space="preserve">J. I. Janjua</t>
  </si>
  <si>
    <t xml:space="preserve">2024 International Conference on Decision Aid Sciences and Applications (DASA)</t>
  </si>
  <si>
    <t xml:space="preserve">10.1109/dasa63652.2024.10836237</t>
  </si>
  <si>
    <t xml:space="preserve">I059</t>
  </si>
  <si>
    <t xml:space="preserve">A Parameter Sharing Method for Reinforcement Learning Model between AirSim and UAVs</t>
  </si>
  <si>
    <t xml:space="preserve">C. Y. Ho</t>
  </si>
  <si>
    <t xml:space="preserve">2018 1st International Cognitive Cities Conference (IC3)</t>
  </si>
  <si>
    <t xml:space="preserve">10.1109/ic3.2018.00014</t>
  </si>
  <si>
    <t xml:space="preserve">I060</t>
  </si>
  <si>
    <t xml:space="preserve">X. Li</t>
  </si>
  <si>
    <t xml:space="preserve">Article (early access)</t>
  </si>
  <si>
    <t xml:space="preserve">I061</t>
  </si>
  <si>
    <t xml:space="preserve">A. Brunnbauer</t>
  </si>
  <si>
    <t xml:space="preserve">2022 International Conference on Robotics and Automation (ICRA)</t>
  </si>
  <si>
    <t xml:space="preserve">I062</t>
  </si>
  <si>
    <t xml:space="preserve">Revisiting Self-Attention in Deep Reinforcement Learning: A Dimensional Perspective</t>
  </si>
  <si>
    <t xml:space="preserve">J. Sun</t>
  </si>
  <si>
    <t xml:space="preserve">10.1109/ccai65422.2025.11189820</t>
  </si>
  <si>
    <t xml:space="preserve">I063</t>
  </si>
  <si>
    <t xml:space="preserve">Inverse Reinforcement Learning Control for Linear Multiplayer Games</t>
  </si>
  <si>
    <t xml:space="preserve">2022 IEEE 61st Conference on Decision and Control (CDC)</t>
  </si>
  <si>
    <t xml:space="preserve">10.1109/cdc51059.2022.9993367</t>
  </si>
  <si>
    <t xml:space="preserve">I064</t>
  </si>
  <si>
    <t xml:space="preserve">Potential-Game-Driven Formation Control of AUVs: An Inverse-Reinforcement-Learning-Based Solution</t>
  </si>
  <si>
    <t xml:space="preserve">J. Yan</t>
  </si>
  <si>
    <t xml:space="preserve">10.1109/joe.2024.3484525</t>
  </si>
  <si>
    <t xml:space="preserve">I065</t>
  </si>
  <si>
    <t xml:space="preserve">A LiDAR-based approach to autonomous racing with model-free reinforcement learning</t>
  </si>
  <si>
    <t xml:space="preserve">M. Hell</t>
  </si>
  <si>
    <t xml:space="preserve">2024 IEEE Intelligent Vehicles Symposium (IV)</t>
  </si>
  <si>
    <t xml:space="preserve">10.1109/iv55156.2024.10588613</t>
  </si>
  <si>
    <t xml:space="preserve">I066</t>
  </si>
  <si>
    <t xml:space="preserve">J. Tan</t>
  </si>
  <si>
    <t xml:space="preserve">2023 International Conference on Advanced Robotics and Mechatronics (ICARM)</t>
  </si>
  <si>
    <t xml:space="preserve">I067</t>
  </si>
  <si>
    <t xml:space="preserve">Research on Portfolio Optimization Based on Deep Reinforcement Learning</t>
  </si>
  <si>
    <t xml:space="preserve">Z. Wang</t>
  </si>
  <si>
    <t xml:space="preserve">2022 4th International Conference on Machine Learning, Big Data and Business Intelligence (MLBDBI)</t>
  </si>
  <si>
    <t xml:space="preserve">10.1109/mlbdbi58171.2022.00081</t>
  </si>
  <si>
    <t xml:space="preserve">I068</t>
  </si>
  <si>
    <t xml:space="preserve">Missed Information: A Video Game Designed to Teach Methods of Spotting Fake News in Social Media</t>
  </si>
  <si>
    <t xml:space="preserve">E. M. Aguilar</t>
  </si>
  <si>
    <t xml:space="preserve">2021 IEEE International Conference on Engineering, Technology &amp; Education (TALE)</t>
  </si>
  <si>
    <t xml:space="preserve">10.1109/tale52509.2021.9678613</t>
  </si>
  <si>
    <t xml:space="preserve">I069</t>
  </si>
  <si>
    <t xml:space="preserve">Freedom and Restraint in Dark Forest: A Peek at the Metaverse Through a Blockchain Game</t>
  </si>
  <si>
    <t xml:space="preserve">N. Yao</t>
  </si>
  <si>
    <t xml:space="preserve">IEEE Transactions on Computational Social Systems</t>
  </si>
  <si>
    <t xml:space="preserve">10.1109/tcss.2022.3215885</t>
  </si>
  <si>
    <t xml:space="preserve">I070</t>
  </si>
  <si>
    <t xml:space="preserve">K. Mišura</t>
  </si>
  <si>
    <t xml:space="preserve">2024 International Conference on Software, Telecommunications and Computer Networks (SoftCOM)</t>
  </si>
  <si>
    <t xml:space="preserve">I071</t>
  </si>
  <si>
    <t xml:space="preserve">Towards a multi-agent reinforcement learning approach for joint sensing and sharing in cognitive radio networks</t>
  </si>
  <si>
    <t xml:space="preserve">K. Rapetswa</t>
  </si>
  <si>
    <t xml:space="preserve">Intelligent and Converged Networks</t>
  </si>
  <si>
    <t xml:space="preserve">10.23919/icn.2023.0005</t>
  </si>
  <si>
    <t xml:space="preserve">I072</t>
  </si>
  <si>
    <t xml:space="preserve">Learning Interpretable Policies in Hindsight-Observable POMDPs Through Partially Supervised Reinforcement Learning</t>
  </si>
  <si>
    <t xml:space="preserve">M. Lanier</t>
  </si>
  <si>
    <t xml:space="preserve">2024 International Conference on Machine Learning and Applications (ICMLA)</t>
  </si>
  <si>
    <t xml:space="preserve">10.1109/icmla61862.2024.00048</t>
  </si>
  <si>
    <t xml:space="preserve">I073</t>
  </si>
  <si>
    <t xml:space="preserve">Reinforcement Learning in Mathematical Decision-Making: Bridging Theory and Applications</t>
  </si>
  <si>
    <t xml:space="preserve">K. Karuppiah</t>
  </si>
  <si>
    <t xml:space="preserve">2025 3rd International Conference on IoT, Communication and Automation Technology (ICICAT)</t>
  </si>
  <si>
    <t xml:space="preserve">10.1109/icicat68430.2025.11414662</t>
  </si>
  <si>
    <t xml:space="preserve">I074</t>
  </si>
  <si>
    <t xml:space="preserve">B. Bencsik</t>
  </si>
  <si>
    <t xml:space="preserve">2022 International Symposium on Measurement and Control in Robotics (ISMCR)</t>
  </si>
  <si>
    <t xml:space="preserve">I075</t>
  </si>
  <si>
    <t xml:space="preserve">Terrain Generation Based on Real World Locations for Military Training and Simulation</t>
  </si>
  <si>
    <t xml:space="preserve">P. Dam</t>
  </si>
  <si>
    <t xml:space="preserve">2019 18th Brazilian Symposium on Computer Games and Digital Entertainment (SBGames)</t>
  </si>
  <si>
    <t xml:space="preserve">10.1109/sbgames.2019.00031</t>
  </si>
  <si>
    <t xml:space="preserve">I076</t>
  </si>
  <si>
    <t xml:space="preserve">Empowering Multimodal Large Language Model as a Small Rule-Abiding World Simulator</t>
  </si>
  <si>
    <t xml:space="preserve">X. Wang</t>
  </si>
  <si>
    <t xml:space="preserve">2025 IEEE International Conference on Intelligence and Security Informatics (ISI)</t>
  </si>
  <si>
    <t xml:space="preserve">I077</t>
  </si>
  <si>
    <t xml:space="preserve">De Gruyter eBook Chapters</t>
  </si>
  <si>
    <t xml:space="preserve">5 Reinforcement learning</t>
  </si>
  <si>
    <t xml:space="preserve">N. Shaik</t>
  </si>
  <si>
    <t xml:space="preserve">Toward Artificial General Intelligence: Deep Learning, Neural Networks, Generative AI</t>
  </si>
  <si>
    <t xml:space="preserve">I078</t>
  </si>
  <si>
    <t xml:space="preserve">Risk-Based Testing of Self-Adaptive Systems Using Run-Time Predictions</t>
  </si>
  <si>
    <t xml:space="preserve">A. Reichstaller</t>
  </si>
  <si>
    <t xml:space="preserve">2018 IEEE 12th International Conference on Self-Adaptive and Self-Organizing Systems (SASO)</t>
  </si>
  <si>
    <t xml:space="preserve">10.1109/saso.2018.00019</t>
  </si>
  <si>
    <t xml:space="preserve">I079</t>
  </si>
  <si>
    <t xml:space="preserve">Optimizing VLSI Implementation with Reinforcement Learning - ICCAD Special Session Paper</t>
  </si>
  <si>
    <t xml:space="preserve">H. Ren</t>
  </si>
  <si>
    <t xml:space="preserve">2021 IEEE/ACM International Conference On Computer Aided Design (ICCAD)</t>
  </si>
  <si>
    <t xml:space="preserve">10.1109/iccad51958.2021.9643589</t>
  </si>
  <si>
    <t xml:space="preserve">I080</t>
  </si>
  <si>
    <t xml:space="preserve">End-to-End Learning of Deep Visuomotor Policy for Needle Picking</t>
  </si>
  <si>
    <t xml:space="preserve">H. Lin</t>
  </si>
  <si>
    <t xml:space="preserve">2023 IEEE/RSJ International Conference on Intelligent Robots and Systems (IROS)</t>
  </si>
  <si>
    <t xml:space="preserve">10.1109/iros55552.2023.10342194</t>
  </si>
  <si>
    <t xml:space="preserve">I081</t>
  </si>
  <si>
    <t xml:space="preserve">Factored Reinforcement Learning for Auto-scaling in Tandem Queues</t>
  </si>
  <si>
    <t xml:space="preserve">T. Tournaire</t>
  </si>
  <si>
    <t xml:space="preserve">NOMS 2022-2022 IEEE/IFIP Network Operations and Management Symposium</t>
  </si>
  <si>
    <t xml:space="preserve">10.1109/noms54207.2022.9789809</t>
  </si>
  <si>
    <t xml:space="preserve">I082</t>
  </si>
  <si>
    <t xml:space="preserve">Sample Efficient Reinforcement Learning Using Graph-Based Memory Reconstruction</t>
  </si>
  <si>
    <t xml:space="preserve">Y. Kang</t>
  </si>
  <si>
    <t xml:space="preserve">10.1109/tai.2023.3268612</t>
  </si>
  <si>
    <t xml:space="preserve">I083</t>
  </si>
  <si>
    <t xml:space="preserve">Forward Model Learning for Motion Control Tasks</t>
  </si>
  <si>
    <t xml:space="preserve">A. Dockhorn</t>
  </si>
  <si>
    <t xml:space="preserve">2020 IEEE 10th International Conference on Intelligent Systems (IS)</t>
  </si>
  <si>
    <t xml:space="preserve">10.1109/is48319.2020.9199978</t>
  </si>
  <si>
    <t xml:space="preserve">I084</t>
  </si>
  <si>
    <t xml:space="preserve">2025 International Joint Conference on Neural Networks (IJCNN)</t>
  </si>
  <si>
    <t xml:space="preserve">I085</t>
  </si>
  <si>
    <t xml:space="preserve">Rollout-based Shapley Values for Explainable Cooperative Multi-Agent Reinforcement Learning</t>
  </si>
  <si>
    <t xml:space="preserve">F. Ruggeri</t>
  </si>
  <si>
    <t xml:space="preserve">2024 IEEE International Conference on Machine Learning for Communication and Networking (ICMLCN)</t>
  </si>
  <si>
    <t xml:space="preserve">10.1109/icmlcn59089.2024.10624777</t>
  </si>
  <si>
    <t xml:space="preserve">I086</t>
  </si>
  <si>
    <t xml:space="preserve">AnimeGamer: Infinite Anime Life Simulation with Next Game State Prediction</t>
  </si>
  <si>
    <t xml:space="preserve">J. Cheng</t>
  </si>
  <si>
    <t xml:space="preserve">2025 IEEE/CVF International Conference on Computer Vision (ICCV)</t>
  </si>
  <si>
    <t xml:space="preserve">10.1109/iccv51701.2025.01012</t>
  </si>
  <si>
    <t xml:space="preserve">I087</t>
  </si>
  <si>
    <t xml:space="preserve">Optimal Data-driven Control of Embedded Micro-grids in Developing Countries</t>
  </si>
  <si>
    <t xml:space="preserve">Z. Tao</t>
  </si>
  <si>
    <t xml:space="preserve">2019 1st International Conference on Industrial Artificial Intelligence (IAI)</t>
  </si>
  <si>
    <t xml:space="preserve">10.1109/iciai.2019.8850810</t>
  </si>
  <si>
    <t xml:space="preserve">I088</t>
  </si>
  <si>
    <t xml:space="preserve">Inverse Reinforcement Learning H∞ Optimal Control for Takagi--Sugeno Fuzzy Systems</t>
  </si>
  <si>
    <t xml:space="preserve">W. Song</t>
  </si>
  <si>
    <t xml:space="preserve">IEEE Transactions on Cybernetics</t>
  </si>
  <si>
    <t xml:space="preserve">10.1109/tcyb.2026.3690606</t>
  </si>
  <si>
    <t xml:space="preserve">I089</t>
  </si>
  <si>
    <t xml:space="preserve">Initially Excited Asynchronous Reinforcement Learning Control With Monotonicity and Stability</t>
  </si>
  <si>
    <t xml:space="preserve">10.1109/tsmc.2025.3647521</t>
  </si>
  <si>
    <t xml:space="preserve">I090</t>
  </si>
  <si>
    <t xml:space="preserve">Sample-Efficient Unsupervised Policy Cloning from Ensemble Self-Supervised Labeled Videos</t>
  </si>
  <si>
    <t xml:space="preserve">X. Liu</t>
  </si>
  <si>
    <t xml:space="preserve">2025 IEEE International Conference on Robotics and Automation (ICRA)</t>
  </si>
  <si>
    <t xml:space="preserve">10.1109/icra55743.2025.11127791</t>
  </si>
  <si>
    <t xml:space="preserve">I091</t>
  </si>
  <si>
    <t xml:space="preserve">Modern Value Based Reinforcement Learning: A Chronological Review</t>
  </si>
  <si>
    <t xml:space="preserve">M. C. McKenzie</t>
  </si>
  <si>
    <t xml:space="preserve">10.1109/access.2022.3228647</t>
  </si>
  <si>
    <t xml:space="preserve">I092</t>
  </si>
  <si>
    <t xml:space="preserve">Tutorial Sessions</t>
  </si>
  <si>
    <t xml:space="preserve">2025 American Control Conference (ACC)</t>
  </si>
  <si>
    <t xml:space="preserve">10.23919/acc63710.2025.11107572</t>
  </si>
  <si>
    <t xml:space="preserve">I093</t>
  </si>
  <si>
    <t xml:space="preserve">Survey on Large Language Model-Enhanced Reinforcement Learning: Concept, Taxonomy, and Methods</t>
  </si>
  <si>
    <t xml:space="preserve">Y. Cao</t>
  </si>
  <si>
    <t xml:space="preserve">10.1109/tnnls.2024.3497992</t>
  </si>
  <si>
    <t xml:space="preserve">I094</t>
  </si>
  <si>
    <t xml:space="preserve">L. He</t>
  </si>
  <si>
    <t xml:space="preserve">2025 5th International Conference on Robotics, Automation, and Artificial Intelligence (RAAI)</t>
  </si>
  <si>
    <t xml:space="preserve">I095</t>
  </si>
  <si>
    <t xml:space="preserve">Minimax Iterative Dynamic Game: Application to Nonlinear Robot Control Tasks</t>
  </si>
  <si>
    <t xml:space="preserve">O. Ogunmolu</t>
  </si>
  <si>
    <t xml:space="preserve">2018 IEEE/RSJ International Conference on Intelligent Robots and Systems (IROS)</t>
  </si>
  <si>
    <t xml:space="preserve">10.1109/iros.2018.8594037</t>
  </si>
  <si>
    <t xml:space="preserve">I096</t>
  </si>
  <si>
    <t xml:space="preserve">DynaPredict: Alternating Predictive and Real Iteration for Efficient Deep Reinforcement Learning Training</t>
  </si>
  <si>
    <t xml:space="preserve">Y. Liu</t>
  </si>
  <si>
    <t xml:space="preserve">10.1109/icassp55912.2026.11463569</t>
  </si>
  <si>
    <t xml:space="preserve">I097</t>
  </si>
  <si>
    <t xml:space="preserve">Deductive Reinforcement Learning for Visual Autonomous Urban Driving Navigation</t>
  </si>
  <si>
    <t xml:space="preserve">C. Huang</t>
  </si>
  <si>
    <t xml:space="preserve">10.1109/tnnls.2021.3109284</t>
  </si>
  <si>
    <t xml:space="preserve">I098</t>
  </si>
  <si>
    <t xml:space="preserve">Partial Consistency for Stabilizing Undiscounted Reinforcement Learning</t>
  </si>
  <si>
    <t xml:space="preserve">H. Gao</t>
  </si>
  <si>
    <t xml:space="preserve">10.1109/tnnls.2022.3165941</t>
  </si>
  <si>
    <t xml:space="preserve">I099</t>
  </si>
  <si>
    <t xml:space="preserve">Reinforcement Learning Approaches In Open-Ended Environments</t>
  </si>
  <si>
    <t xml:space="preserve">Z. Hossain</t>
  </si>
  <si>
    <t xml:space="preserve">2024 6th International Conference on Electrical, Control and Instrumentation Engineering (ICECIE)</t>
  </si>
  <si>
    <t xml:space="preserve">10.1109/icecie63774.2024.10815636</t>
  </si>
  <si>
    <t xml:space="preserve">I100</t>
  </si>
  <si>
    <t xml:space="preserve">An LLM-enabled Framework Integrating Strategic Planning with Deep Reinforcement Learning</t>
  </si>
  <si>
    <t xml:space="preserve">2026 IEEE International Conference on Intelligence and Security Informatics (ISI)</t>
  </si>
  <si>
    <t xml:space="preserve">10.1109/isi69914.2026.11685851</t>
  </si>
  <si>
    <t xml:space="preserve">I101</t>
  </si>
  <si>
    <t xml:space="preserve">An Adversarial Objective for Scalable Exploration</t>
  </si>
  <si>
    <t xml:space="preserve">B. Bucher</t>
  </si>
  <si>
    <t xml:space="preserve">2021 IEEE/RSJ International Conference on Intelligent Robots and Systems (IROS)</t>
  </si>
  <si>
    <t xml:space="preserve">10.1109/iros51168.2021.9636298</t>
  </si>
  <si>
    <t xml:space="preserve">I102</t>
  </si>
  <si>
    <t xml:space="preserve">Model-Based Soft Actor-Critic</t>
  </si>
  <si>
    <t xml:space="preserve">J. -T. Chien</t>
  </si>
  <si>
    <t xml:space="preserve">2021 Asia-Pacific Signal and Information Processing Association Annual Summit and Conference (APSIPA ASC)</t>
  </si>
  <si>
    <t xml:space="preserve">I103</t>
  </si>
  <si>
    <t xml:space="preserve">Wiley AI eBook Chapters</t>
  </si>
  <si>
    <t xml:space="preserve">Using Reinforcement Learning in Unity Environments for Training AI Agent</t>
  </si>
  <si>
    <t xml:space="preserve">G. Munjal</t>
  </si>
  <si>
    <t xml:space="preserve">Deep Reinforcement Learning and Its Industrial Use Cases: AI for Real-World Applications</t>
  </si>
  <si>
    <t xml:space="preserve">10.1002/9781394272587.ch15</t>
  </si>
  <si>
    <t xml:space="preserve">I104</t>
  </si>
  <si>
    <t xml:space="preserve">Trade-off on Sim2Real Learning: Real-world Learning Faster than Simulations</t>
  </si>
  <si>
    <t xml:space="preserve">J. Huang</t>
  </si>
  <si>
    <t xml:space="preserve">2022 8th International Conference on Control, Automation and Robotics (ICCAR)</t>
  </si>
  <si>
    <t xml:space="preserve">10.1109/iccar55106.2022.9782656</t>
  </si>
  <si>
    <t xml:space="preserve">I105</t>
  </si>
  <si>
    <t xml:space="preserve">F. Tütüncüoğlu</t>
  </si>
  <si>
    <t xml:space="preserve">IEEE INFOCOM 2024 - IEEE Conference on Computer Communications Workshops (INFOCOM WKSHPS)</t>
  </si>
  <si>
    <t xml:space="preserve">I106</t>
  </si>
  <si>
    <t xml:space="preserve">Hypothesis-Driven Skill Discovery for Hierarchical Deep Reinforcement Learning</t>
  </si>
  <si>
    <t xml:space="preserve">C. Chuck</t>
  </si>
  <si>
    <t xml:space="preserve">2020 IEEE/RSJ International Conference on Intelligent Robots and Systems (IROS)</t>
  </si>
  <si>
    <t xml:space="preserve">10.1109/iros45743.2020.9340891</t>
  </si>
  <si>
    <t xml:space="preserve">I107</t>
  </si>
  <si>
    <t xml:space="preserve">On Transforming Reinforcement Learning With Transformers: The Development Trajectory</t>
  </si>
  <si>
    <t xml:space="preserve">S. Hu</t>
  </si>
  <si>
    <t xml:space="preserve">IEEE Transactions on Pattern Analysis and Machine Intelligence</t>
  </si>
  <si>
    <t xml:space="preserve">10.1109/tpami.2024.3408271</t>
  </si>
  <si>
    <t xml:space="preserve">I108</t>
  </si>
  <si>
    <t xml:space="preserve">Deep Reinforcement Learning in Robotics and Autonomous Systems</t>
  </si>
  <si>
    <t xml:space="preserve">U. Yadav</t>
  </si>
  <si>
    <t xml:space="preserve">10.1002/9781394272587.ch10</t>
  </si>
  <si>
    <t xml:space="preserve">I109</t>
  </si>
  <si>
    <t xml:space="preserve">K. Wang</t>
  </si>
  <si>
    <t xml:space="preserve">2023 International Conference on Telecommunications, Electronics and Informatics (ICTEI)</t>
  </si>
  <si>
    <t xml:space="preserve">I110</t>
  </si>
  <si>
    <t xml:space="preserve">Pilot Resource Management for Channel Estimation Error Reduction in Digital Twin-Assisted User-Centric Cell-Free Massive MIMO Networks</t>
  </si>
  <si>
    <t xml:space="preserve">M. Sarker</t>
  </si>
  <si>
    <t xml:space="preserve">IEEE Transactions on Wireless Communications</t>
  </si>
  <si>
    <t xml:space="preserve">10.1109/twc.2026.3660875</t>
  </si>
  <si>
    <t xml:space="preserve">I111</t>
  </si>
  <si>
    <t xml:space="preserve">From Crystallized Adaptivity to Fluid Adaptivity in Deep Reinforcement Learning — Insights from Biological Systems on Adaptive Flexibility</t>
  </si>
  <si>
    <t xml:space="preserve">M. Schilling</t>
  </si>
  <si>
    <t xml:space="preserve">2019 IEEE International Conference on Systems, Man and Cybernetics (SMC)</t>
  </si>
  <si>
    <t xml:space="preserve">10.1109/smc.2019.8914302</t>
  </si>
  <si>
    <t xml:space="preserve">I112</t>
  </si>
  <si>
    <t xml:space="preserve">Enhancing Robot Safety and Reducing Motion Noise: Reward Function Optimization in Reinforcement Learning for Quadruped/Humanoid Robots</t>
  </si>
  <si>
    <t xml:space="preserve">Y. Qiuying</t>
  </si>
  <si>
    <t xml:space="preserve">2026 6th International Conference on Computer, Control and Robotics (ICCCR)</t>
  </si>
  <si>
    <t xml:space="preserve">10.1109/icccr69988.2026.11642726</t>
  </si>
  <si>
    <t xml:space="preserve">I113</t>
  </si>
  <si>
    <t xml:space="preserve">Model-Based Offline Reinforcement Learning With Adversarial Data Augmentation</t>
  </si>
  <si>
    <t xml:space="preserve">H. Cao</t>
  </si>
  <si>
    <t xml:space="preserve">10.1109/tnnls.2025.3636176</t>
  </si>
  <si>
    <t xml:space="preserve">I114</t>
  </si>
  <si>
    <t xml:space="preserve">Benchmark Generation Framework with Customizable Distortions for Image Classifier Robustness</t>
  </si>
  <si>
    <t xml:space="preserve">S. Sarkar</t>
  </si>
  <si>
    <t xml:space="preserve">2024 IEEE/CVF Winter Conference on Applications of Computer Vision (WACV)</t>
  </si>
  <si>
    <t xml:space="preserve">10.1109/wacv57701.2024.00436</t>
  </si>
  <si>
    <t xml:space="preserve">I115</t>
  </si>
  <si>
    <t xml:space="preserve">MIT Press eBook Chapters</t>
  </si>
  <si>
    <t xml:space="preserve">4 Reinforcement Learning and Prediction</t>
  </si>
  <si>
    <t xml:space="preserve">T. J. Hwu</t>
  </si>
  <si>
    <t xml:space="preserve">Neurorobotics: Connecting the Brain, Body, and Environment</t>
  </si>
  <si>
    <t xml:space="preserve">I116</t>
  </si>
  <si>
    <t xml:space="preserve">Train in Austria, Race in Montecarlo: Generalized RL for Cross-Track F1&lt;sup&gt;tenth&lt;/sup&gt; LIDAR-Based Races</t>
  </si>
  <si>
    <t xml:space="preserve">M. Bosello</t>
  </si>
  <si>
    <t xml:space="preserve">2022 IEEE 19th Annual Consumer Communications &amp; Networking Conference (CCNC)</t>
  </si>
  <si>
    <t xml:space="preserve">10.1109/ccnc49033.2022.9700730</t>
  </si>
  <si>
    <t xml:space="preserve">I117</t>
  </si>
  <si>
    <t xml:space="preserve">P. Poprik</t>
  </si>
  <si>
    <t xml:space="preserve">2025 IEEE 23rd World Symposium on Applied Machine Intelligence and Informatics (SAMI)</t>
  </si>
  <si>
    <t xml:space="preserve">I118</t>
  </si>
  <si>
    <t xml:space="preserve">Learning to Simulate Dynamic Environments With GameGAN</t>
  </si>
  <si>
    <t xml:space="preserve">S. W. Kim</t>
  </si>
  <si>
    <t xml:space="preserve">2020 IEEE/CVF Conference on Computer Vision and Pattern Recognition (CVPR)</t>
  </si>
  <si>
    <t xml:space="preserve">10.1109/cvpr42600.2020.00131</t>
  </si>
  <si>
    <t xml:space="preserve">I119</t>
  </si>
  <si>
    <t xml:space="preserve">Exploiting Generalization in the Subspaces for Faster Model-Based Reinforcement Learning</t>
  </si>
  <si>
    <t xml:space="preserve">M. Hashemzadeh</t>
  </si>
  <si>
    <t xml:space="preserve">10.1109/tnnls.2018.2869978</t>
  </si>
  <si>
    <t xml:space="preserve">I120</t>
  </si>
  <si>
    <t xml:space="preserve">Machine Learning-Driven Load Balancing in Edge and 5G Networks: A Comprehensive Survey</t>
  </si>
  <si>
    <t xml:space="preserve">E. Moghadam</t>
  </si>
  <si>
    <t xml:space="preserve">IEEE Open Journal of the Communications Society</t>
  </si>
  <si>
    <t xml:space="preserve">10.1109/ojcoms.2026.3728736</t>
  </si>
  <si>
    <t xml:space="preserve">I121</t>
  </si>
  <si>
    <t xml:space="preserve">N. Savov</t>
  </si>
  <si>
    <t xml:space="preserve">2025 IEEE/CVF Conference on Computer Vision and Pattern Recognition (CVPR)</t>
  </si>
  <si>
    <t xml:space="preserve">I122</t>
  </si>
  <si>
    <t xml:space="preserve">On the Influence of the Supine Posture on Simulation Sickness in Virtual Reality</t>
  </si>
  <si>
    <t xml:space="preserve">J. Marengo</t>
  </si>
  <si>
    <t xml:space="preserve">2019 IEEE Conference on Games (CoG)</t>
  </si>
  <si>
    <t xml:space="preserve">10.1109/cig.2019.8848098</t>
  </si>
  <si>
    <t xml:space="preserve">I123</t>
  </si>
  <si>
    <t xml:space="preserve">Human--Machine Co-Adaptation for Robot-Assisted Rehabilitation via Dual-Agent Multiple Model Reinforcement Learning (DAMMRL)</t>
  </si>
  <si>
    <t xml:space="preserve">Y. An</t>
  </si>
  <si>
    <t xml:space="preserve">10.1109/tnnls.2026.3685832</t>
  </si>
  <si>
    <t xml:space="preserve">I124</t>
  </si>
  <si>
    <t xml:space="preserve">Transfer Learning in Deep Reinforcement Learning: A Survey</t>
  </si>
  <si>
    <t xml:space="preserve">Z. Zhu</t>
  </si>
  <si>
    <t xml:space="preserve">10.1109/tpami.2023.3292075</t>
  </si>
  <si>
    <t xml:space="preserve">I125</t>
  </si>
  <si>
    <t xml:space="preserve">N. Fang</t>
  </si>
  <si>
    <t xml:space="preserve">I126</t>
  </si>
  <si>
    <t xml:space="preserve">Deep Reinforcement Learning Algorithms</t>
  </si>
  <si>
    <t xml:space="preserve">S. V. Bondre</t>
  </si>
  <si>
    <t xml:space="preserve">10.1002/9781394272587.ch3</t>
  </si>
  <si>
    <t xml:space="preserve">I127</t>
  </si>
  <si>
    <t xml:space="preserve">Unity3D Based on the Impact of Landscape Planning and Design Virtual and Realistic</t>
  </si>
  <si>
    <t xml:space="preserve">Z. Wu</t>
  </si>
  <si>
    <t xml:space="preserve">2023 International Conference on Distributed Computing and Electrical Circuits and Electronics (ICDCECE)</t>
  </si>
  <si>
    <t xml:space="preserve">10.1109/icdcece57866.2023.10151199</t>
  </si>
  <si>
    <t xml:space="preserve">I128</t>
  </si>
  <si>
    <t xml:space="preserve">Natural Selection Simulator using Machine Learning</t>
  </si>
  <si>
    <t xml:space="preserve">R. Singh</t>
  </si>
  <si>
    <t xml:space="preserve">2022 Fifth International Conference on Computational Intelligence and Communication Technologies (CCICT)</t>
  </si>
  <si>
    <t xml:space="preserve">10.1109/ccict56684.2022.00055</t>
  </si>
  <si>
    <t xml:space="preserve">I129</t>
  </si>
  <si>
    <t xml:space="preserve">Multiexperience-Assisted Efficient Multiagent Reinforcement Learning</t>
  </si>
  <si>
    <t xml:space="preserve">T. Zhang</t>
  </si>
  <si>
    <t xml:space="preserve">10.1109/tnnls.2023.3264275</t>
  </si>
  <si>
    <t xml:space="preserve">I130</t>
  </si>
  <si>
    <t xml:space="preserve">IEEE Magazines</t>
  </si>
  <si>
    <t xml:space="preserve">Model Predictive Control-Based Value Estimation for Efficient Reinforcement Learning</t>
  </si>
  <si>
    <t xml:space="preserve">Q. Wu</t>
  </si>
  <si>
    <t xml:space="preserve">IEEE Intelligent Systems</t>
  </si>
  <si>
    <t xml:space="preserve">Magazine article</t>
  </si>
  <si>
    <t xml:space="preserve">10.1109/mis.2024.3386204</t>
  </si>
  <si>
    <t xml:space="preserve">I131</t>
  </si>
  <si>
    <t xml:space="preserve">Meta SAC-Lag: Towards Deployable Safe Reinforcement Learning via MetaGradient-based Hyperparameter Tuning</t>
  </si>
  <si>
    <t xml:space="preserve">H. Honari</t>
  </si>
  <si>
    <t xml:space="preserve">10.1109/iros58592.2024.10802547</t>
  </si>
  <si>
    <t xml:space="preserve">I132</t>
  </si>
  <si>
    <t xml:space="preserve">Work-in-progress—Developing an Evidence-Centered Model for Computational Thinking in Virtual Worlds with Children with Autism</t>
  </si>
  <si>
    <t xml:space="preserve">A. Barrett</t>
  </si>
  <si>
    <t xml:space="preserve">2022 8th International Conference of the Immersive Learning Research Network (iLRN)</t>
  </si>
  <si>
    <t xml:space="preserve">10.23919/ilrn55037.2022.9815999</t>
  </si>
  <si>
    <t xml:space="preserve">I133</t>
  </si>
  <si>
    <t xml:space="preserve">Tactile Active Inference Reinforcement Learning for Efficient Robotic Manipulation Skill Acquisition</t>
  </si>
  <si>
    <t xml:space="preserve">10.1109/iros58592.2024.10802750</t>
  </si>
  <si>
    <t xml:space="preserve">I134</t>
  </si>
  <si>
    <t xml:space="preserve">Learning Robotic Policy with Imagined Transition: Mitigating the Trade-Off Between Robustness and Optimality</t>
  </si>
  <si>
    <t xml:space="preserve">W. Xiao</t>
  </si>
  <si>
    <t xml:space="preserve">2026 IEEE 22nd International Conference on Automation Science and Engineering (CASE)</t>
  </si>
  <si>
    <t xml:space="preserve">10.1109/case69030.2026.11704292</t>
  </si>
  <si>
    <t xml:space="preserve">I135</t>
  </si>
  <si>
    <t xml:space="preserve">Learning to Walk With Less: A Dyna-Style Approach to Quadrupedal Locomotion</t>
  </si>
  <si>
    <t xml:space="preserve">F. Affonso</t>
  </si>
  <si>
    <t xml:space="preserve">10.1109/access.2026.3722220</t>
  </si>
  <si>
    <t xml:space="preserve">I136</t>
  </si>
  <si>
    <t xml:space="preserve">Stochastic Observation Prediction for Efficient Reinforcement Learning in Robotics</t>
  </si>
  <si>
    <t xml:space="preserve">2021 IEEE 4th International Conference on Multimedia Information Processing and Retrieval (MIPR)</t>
  </si>
  <si>
    <t xml:space="preserve">10.1109/mipr51284.2021.00027</t>
  </si>
  <si>
    <t xml:space="preserve">I137</t>
  </si>
  <si>
    <t xml:space="preserve">A Two-Stage Cooperative Decision-Making Algorithm for Underwater Swarm Target Search and Encirclement Under Dynamic Games</t>
  </si>
  <si>
    <t xml:space="preserve">J. Zhu</t>
  </si>
  <si>
    <t xml:space="preserve">2026 7th International Conference on Control, Robotics and Intelligent System (CCRIS)</t>
  </si>
  <si>
    <t xml:space="preserve">10.1109/ccris71163.2026.11721777</t>
  </si>
  <si>
    <t xml:space="preserve">I138</t>
  </si>
  <si>
    <t xml:space="preserve">Smooth Games of Configuration in the Linear-Quadratic Setting</t>
  </si>
  <si>
    <t xml:space="preserve">J. Milzman</t>
  </si>
  <si>
    <t xml:space="preserve">2025 IEEE 64th Conference on Decision and Control (CDC)</t>
  </si>
  <si>
    <t xml:space="preserve">10.1109/cdc57313.2025.11312382</t>
  </si>
  <si>
    <t xml:space="preserve">I139</t>
  </si>
  <si>
    <t xml:space="preserve">Unity3D Serious Game Engine for High Fidelity Virtual Reality Training of Remotely-Operated Vehicle Pilot</t>
  </si>
  <si>
    <t xml:space="preserve">C. S. Chin</t>
  </si>
  <si>
    <t xml:space="preserve">2018 10th International Conference on Modelling, Identification and Control (ICMIC)</t>
  </si>
  <si>
    <t xml:space="preserve">10.1109/icmic.2018.8529900</t>
  </si>
  <si>
    <t xml:space="preserve">I140</t>
  </si>
  <si>
    <t xml:space="preserve">NOTES</t>
  </si>
  <si>
    <t xml:space="preserve">T. Hergenrader</t>
  </si>
  <si>
    <t xml:space="preserve">The Worldbuilding Workshop: Teaching Critical Thinking and Empathy Through World Modeling, Simulation, and Play</t>
  </si>
  <si>
    <t xml:space="preserve">I141</t>
  </si>
  <si>
    <t xml:space="preserve">Open-World Learning Under Dataset Shift</t>
  </si>
  <si>
    <t xml:space="preserve">P. Srey</t>
  </si>
  <si>
    <t xml:space="preserve">2024 IEEE Conference on Artificial Intelligence (CAI)</t>
  </si>
  <si>
    <t xml:space="preserve">I142</t>
  </si>
  <si>
    <t xml:space="preserve">Real-World Simulation Through Obstacle Avoiding Robot</t>
  </si>
  <si>
    <t xml:space="preserve">S. MISHRA</t>
  </si>
  <si>
    <t xml:space="preserve">2021 5th International Conference on Computing Methodologies and Communication (ICCMC)</t>
  </si>
  <si>
    <t xml:space="preserve">10.1109/iccmc51019.2021.9418269</t>
  </si>
  <si>
    <t xml:space="preserve">I143</t>
  </si>
  <si>
    <t xml:space="preserve">J. Kim</t>
  </si>
  <si>
    <t xml:space="preserve">I144</t>
  </si>
  <si>
    <t xml:space="preserve">R. Pandey</t>
  </si>
  <si>
    <t xml:space="preserve">2025 3rd International Conference on Communication, Security, and Artificial Intelligence (ICCSAI)</t>
  </si>
  <si>
    <t xml:space="preserve">I145</t>
  </si>
  <si>
    <t xml:space="preserve">N. Sharma</t>
  </si>
  <si>
    <t xml:space="preserve">2020 International Conference on Computational Science and Computational Intelligence (CSCI)</t>
  </si>
  <si>
    <t xml:space="preserve">I146</t>
  </si>
  <si>
    <t xml:space="preserve">Gesture-Based Model of Mixed Reality Human-Computer Interface</t>
  </si>
  <si>
    <t xml:space="preserve">A. Kumar</t>
  </si>
  <si>
    <t xml:space="preserve">2020 9th International Conference System Modeling and Advancement in Research Trends (SMART)</t>
  </si>
  <si>
    <t xml:space="preserve">10.1109/smart50582.2020.9337130</t>
  </si>
  <si>
    <t xml:space="preserve">I147</t>
  </si>
  <si>
    <t xml:space="preserve">RDF* Graph Database as Interlingua for the TextWorld Challenge</t>
  </si>
  <si>
    <t xml:space="preserve">G. Barzdins</t>
  </si>
  <si>
    <t xml:space="preserve">I148</t>
  </si>
  <si>
    <t xml:space="preserve">J. Senden</t>
  </si>
  <si>
    <t xml:space="preserve">I149</t>
  </si>
  <si>
    <t xml:space="preserve">Assistance to Scenarisation of VR-Oriented Pedagogical Activities: Models and Tools</t>
  </si>
  <si>
    <t xml:space="preserve">O. Mahdi</t>
  </si>
  <si>
    <t xml:space="preserve">2019 IEEE 19th International Conference on Advanced Learning Technologies (ICALT)</t>
  </si>
  <si>
    <t xml:space="preserve">10.1109/icalt.2019.00107</t>
  </si>
  <si>
    <t xml:space="preserve">I150</t>
  </si>
  <si>
    <t xml:space="preserve">Developing a web based interactive 3D virtual environment for novel skin measurement instruments</t>
  </si>
  <si>
    <t xml:space="preserve">O. Al Hashimi</t>
  </si>
  <si>
    <t xml:space="preserve">2018 Advances in Science and Engineering Technology International Conferences (ASET)</t>
  </si>
  <si>
    <t xml:space="preserve">10.1109/icaset.2018.8376823</t>
  </si>
  <si>
    <t xml:space="preserve">I151</t>
  </si>
  <si>
    <t xml:space="preserve">9 CLASS PREPARATIONS</t>
  </si>
  <si>
    <t xml:space="preserve">I152</t>
  </si>
  <si>
    <t xml:space="preserve">PROLOGUE</t>
  </si>
  <si>
    <t xml:space="preserve">I153</t>
  </si>
  <si>
    <t xml:space="preserve">The Matter of Deep Reinforcement Learning Towards Practical AI Applications</t>
  </si>
  <si>
    <t xml:space="preserve">T. Thaipisutikul</t>
  </si>
  <si>
    <t xml:space="preserve">2019 Twelfth International Conference on Ubi-Media Computing (Ubi-Media)</t>
  </si>
  <si>
    <t xml:space="preserve">10.1109/ubi-media.2019.00014</t>
  </si>
  <si>
    <t xml:space="preserve">I154</t>
  </si>
  <si>
    <t xml:space="preserve">A. Winnicki</t>
  </si>
  <si>
    <t xml:space="preserve">2023 62nd IEEE Conference on Decision and Control (CDC)</t>
  </si>
  <si>
    <t xml:space="preserve">I155</t>
  </si>
  <si>
    <t xml:space="preserve">Learning Motion Parameterizations of Mobile Pick and Place Actions from Observing Humans in Virtual Environments</t>
  </si>
  <si>
    <t xml:space="preserve">G. Kazhoyan</t>
  </si>
  <si>
    <t xml:space="preserve">10.1109/iros45743.2020.9341458</t>
  </si>
  <si>
    <t xml:space="preserve">I156</t>
  </si>
  <si>
    <t xml:space="preserve">Why? Why not? When? Visual Explanations of Agent Behaviour in Reinforcement Learning</t>
  </si>
  <si>
    <t xml:space="preserve">A. Mishra</t>
  </si>
  <si>
    <t xml:space="preserve">2022 IEEE 15th Pacific Visualization Symposium (PacificVis)</t>
  </si>
  <si>
    <t xml:space="preserve">10.1109/pacificvis53943.2022.00020</t>
  </si>
  <si>
    <t xml:space="preserve">I157</t>
  </si>
  <si>
    <t xml:space="preserve">Reinforcement Learning with Discrete Event Simulation: The Premise, Reality, and Promise</t>
  </si>
  <si>
    <t xml:space="preserve">S. Belsare</t>
  </si>
  <si>
    <t xml:space="preserve">2022 Winter Simulation Conference (WSC)</t>
  </si>
  <si>
    <t xml:space="preserve">10.1109/wsc57314.2022.10015503</t>
  </si>
  <si>
    <t xml:space="preserve">I158</t>
  </si>
  <si>
    <t xml:space="preserve">J. Patil</t>
  </si>
  <si>
    <t xml:space="preserve">2023 4th International Conference for Emerging Technology (INCET)</t>
  </si>
  <si>
    <t xml:space="preserve">I159</t>
  </si>
  <si>
    <t xml:space="preserve">Y. Zheng</t>
  </si>
  <si>
    <t xml:space="preserve">I160</t>
  </si>
  <si>
    <t xml:space="preserve">B. Kim</t>
  </si>
  <si>
    <t xml:space="preserve">2025 16th International Conference on Information and Communication Technology Convergence (ICTC)</t>
  </si>
  <si>
    <t xml:space="preserve">I161</t>
  </si>
  <si>
    <t xml:space="preserve">Edge Intelligence for Plug-in Electrical Vehicle Charging Service</t>
  </si>
  <si>
    <t xml:space="preserve">Y. Zhang</t>
  </si>
  <si>
    <t xml:space="preserve">10.1109/mnet.011.2000587</t>
  </si>
  <si>
    <t xml:space="preserve">I162</t>
  </si>
  <si>
    <t xml:space="preserve">FOREWORD</t>
  </si>
  <si>
    <t xml:space="preserve">I163</t>
  </si>
  <si>
    <t xml:space="preserve">INDEX</t>
  </si>
  <si>
    <t xml:space="preserve">I164</t>
  </si>
  <si>
    <t xml:space="preserve">AGO: Adaptive Grounding for Open World 3D Occupancy Prediction</t>
  </si>
  <si>
    <t xml:space="preserve">P. Li</t>
  </si>
  <si>
    <t xml:space="preserve">10.1109/iccv51701.2025.00809</t>
  </si>
  <si>
    <t xml:space="preserve">I165</t>
  </si>
  <si>
    <t xml:space="preserve">R. Karlsson</t>
  </si>
  <si>
    <t xml:space="preserve">2023 IEEE International Conference on Mobility, Operations, Services and Technologies (MOST)</t>
  </si>
  <si>
    <t xml:space="preserve">I166</t>
  </si>
  <si>
    <t xml:space="preserve">Research on Development and Implementation of Virtual FilScene Based on Unity3D Technology</t>
  </si>
  <si>
    <t xml:space="preserve">B. Han</t>
  </si>
  <si>
    <t xml:space="preserve">10.1109/ictei60496.2023.00119</t>
  </si>
  <si>
    <t xml:space="preserve">I167</t>
  </si>
  <si>
    <t xml:space="preserve">Two-Player Multiagent Graphical Games with Reinforcement Learning*</t>
  </si>
  <si>
    <t xml:space="preserve">2024 IEEE 7th International Conference on Industrial Cyber-Physical Systems (ICPS)</t>
  </si>
  <si>
    <t xml:space="preserve">I168</t>
  </si>
  <si>
    <t xml:space="preserve">CASE STUDY I HISTORY</t>
  </si>
  <si>
    <t xml:space="preserve">I169</t>
  </si>
  <si>
    <t xml:space="preserve">Integration of virtual reality and 3D modeling use of environments in education</t>
  </si>
  <si>
    <t xml:space="preserve">N. F. Murodillayevich</t>
  </si>
  <si>
    <t xml:space="preserve">2019 International Conference on Information Science and Communications Technologies (ICISCT)</t>
  </si>
  <si>
    <t xml:space="preserve">10.1109/icisct47635.2019.9011899</t>
  </si>
  <si>
    <t xml:space="preserve">I170</t>
  </si>
  <si>
    <t xml:space="preserve">Y. Ji</t>
  </si>
  <si>
    <t xml:space="preserve">2024 8th CAA International Conference on Vehicular Control and Intelligence (CVCI)</t>
  </si>
  <si>
    <t xml:space="preserve">I171</t>
  </si>
  <si>
    <t xml:space="preserve">L. Balasubramanian</t>
  </si>
  <si>
    <t xml:space="preserve">I172</t>
  </si>
  <si>
    <t xml:space="preserve">N. Le Hoang</t>
  </si>
  <si>
    <t xml:space="preserve">2024 IEEE International Conference on Development and Learning (ICDL)</t>
  </si>
  <si>
    <t xml:space="preserve">I173</t>
  </si>
  <si>
    <t xml:space="preserve">Open-World Skill Discovery from Unsegmented Demonstration Videos</t>
  </si>
  <si>
    <t xml:space="preserve">J. Deng</t>
  </si>
  <si>
    <t xml:space="preserve">10.1109/iccv51701.2025.00997</t>
  </si>
  <si>
    <t xml:space="preserve">I174</t>
  </si>
  <si>
    <t xml:space="preserve">Abstract State Transition Graphs for Model-Based Reinforcement Learning</t>
  </si>
  <si>
    <t xml:space="preserve">M. Ribeiro Furtado de Mendonça</t>
  </si>
  <si>
    <t xml:space="preserve">2018 7th Brazilian Conference on Intelligent Systems (BRACIS)</t>
  </si>
  <si>
    <t xml:space="preserve">I175</t>
  </si>
  <si>
    <t xml:space="preserve">Advanced Optimization of Data Analysis for Walking-in-Place Locomotion Using Inertial Sensors in VR</t>
  </si>
  <si>
    <t xml:space="preserve">Y. V. Gnevashev</t>
  </si>
  <si>
    <t xml:space="preserve">2021 IEEE Conference of Russian Young Researchers in Electrical and Electronic Engineering (ElConRus)</t>
  </si>
  <si>
    <t xml:space="preserve">10.1109/elconrus51938.2021.9396381</t>
  </si>
  <si>
    <t xml:space="preserve">I176</t>
  </si>
  <si>
    <t xml:space="preserve">R. Spinelli</t>
  </si>
  <si>
    <t xml:space="preserve">2026 Brazilian Conference on Robotics (CROS)</t>
  </si>
  <si>
    <t xml:space="preserve">I177</t>
  </si>
  <si>
    <t xml:space="preserve">Repeatable Simulation for Highly Automated Driving Development and Testing</t>
  </si>
  <si>
    <t xml:space="preserve">W. Baron</t>
  </si>
  <si>
    <t xml:space="preserve">2020 IEEE 91st Vehicular Technology Conference (VTC2020-Spring)</t>
  </si>
  <si>
    <t xml:space="preserve">10.1109/vtc2020-spring48590.2020.9129208</t>
  </si>
  <si>
    <t xml:space="preserve">I178</t>
  </si>
  <si>
    <t xml:space="preserve">DanceOnStage: positioning training of dancing stage performance in virtual reality</t>
  </si>
  <si>
    <t xml:space="preserve">S. -H. Wu</t>
  </si>
  <si>
    <t xml:space="preserve">2024 IEEE International Conference on Artificial Intelligence and eXtended and Virtual Reality (AIxVR)</t>
  </si>
  <si>
    <t xml:space="preserve">10.1109/aixvr59861.2024.00045</t>
  </si>
  <si>
    <t xml:space="preserve">I179</t>
  </si>
  <si>
    <t xml:space="preserve">Research and Realization of the interactive-control technology on Virtual Simulation Platform for Marine Simulator Based on Web3D</t>
  </si>
  <si>
    <t xml:space="preserve">L. Ting-Yun</t>
  </si>
  <si>
    <t xml:space="preserve">2019 IEEE 8th Joint International Information Technology and Artificial Intelligence Conference (ITAIC)</t>
  </si>
  <si>
    <t xml:space="preserve">10.1109/itaic.2019.8785622</t>
  </si>
  <si>
    <t xml:space="preserve">I180</t>
  </si>
  <si>
    <t xml:space="preserve">Exploring the Open World Using Incremental Extreme Value Machines</t>
  </si>
  <si>
    <t xml:space="preserve">T. Koch</t>
  </si>
  <si>
    <t xml:space="preserve">2022 26th International Conference on Pattern Recognition (ICPR)</t>
  </si>
  <si>
    <t xml:space="preserve">10.1109/icpr56361.2022.9956423</t>
  </si>
  <si>
    <t xml:space="preserve">I181</t>
  </si>
  <si>
    <t xml:space="preserve">KnowRobSIM — Game Engine-Enabled Knowledge Processing Towards Cognition-Enabled Robot Control</t>
  </si>
  <si>
    <t xml:space="preserve">A. Haidu</t>
  </si>
  <si>
    <t xml:space="preserve">I182</t>
  </si>
  <si>
    <t xml:space="preserve">Railway Video Inspection System based on ACP Theory</t>
  </si>
  <si>
    <t xml:space="preserve">H. Zhao</t>
  </si>
  <si>
    <t xml:space="preserve">2023 IEEE 14th International Symposium on Parallel Architectures, Algorithms and Programming (PAAP)</t>
  </si>
  <si>
    <t xml:space="preserve">10.1109/paap60200.2023.10391103</t>
  </si>
  <si>
    <t xml:space="preserve">I183</t>
  </si>
  <si>
    <t xml:space="preserve">Modeling Process of a Third Dimension Universe for Transportation Simulation: Application to Railway System</t>
  </si>
  <si>
    <t xml:space="preserve">O. Lamotte</t>
  </si>
  <si>
    <t xml:space="preserve">IEEE Intelligent Transportation Systems Magazine</t>
  </si>
  <si>
    <t xml:space="preserve">10.1109/mits.2019.2939110</t>
  </si>
  <si>
    <t xml:space="preserve">I184</t>
  </si>
  <si>
    <t xml:space="preserve">Playable Environments: Video Manipulation in Space and Time</t>
  </si>
  <si>
    <t xml:space="preserve">W. Menapace</t>
  </si>
  <si>
    <t xml:space="preserve">2022 IEEE/CVF Conference on Computer Vision and Pattern Recognition (CVPR)</t>
  </si>
  <si>
    <t xml:space="preserve">10.1109/cvpr52688.2022.00357</t>
  </si>
  <si>
    <t xml:space="preserve">I185</t>
  </si>
  <si>
    <t xml:space="preserve">Enhanced Transfer Learning for Autonomous Driving with Systematic Accident Simulation</t>
  </si>
  <si>
    <t xml:space="preserve">S. Akhauri</t>
  </si>
  <si>
    <t xml:space="preserve">10.1109/iros45743.2020.9341538</t>
  </si>
  <si>
    <t xml:space="preserve">I186</t>
  </si>
  <si>
    <t xml:space="preserve">Digital twin technology for virtual testing of power system relay protection</t>
  </si>
  <si>
    <t xml:space="preserve">A. Bonetti</t>
  </si>
  <si>
    <t xml:space="preserve">2021 3rd Global Power, Energy and Communication Conference (GPECOM)</t>
  </si>
  <si>
    <t xml:space="preserve">10.1109/gpecom52585.2021.9587869</t>
  </si>
  <si>
    <t xml:space="preserve">I187</t>
  </si>
  <si>
    <t xml:space="preserve">Uncertain Requirements, Assurance and Machine Learning</t>
  </si>
  <si>
    <t xml:space="preserve">M. Chechik</t>
  </si>
  <si>
    <t xml:space="preserve">2019 IEEE 27th International Requirements Engineering Conference (RE)</t>
  </si>
  <si>
    <t xml:space="preserve">10.1109/re.2019.00010</t>
  </si>
  <si>
    <t xml:space="preserve">I188</t>
  </si>
  <si>
    <t xml:space="preserve">I189</t>
  </si>
  <si>
    <t xml:space="preserve">2 ROAD TO CONTEMPORARY LEARNING THEORY</t>
  </si>
  <si>
    <t xml:space="preserve">I190</t>
  </si>
  <si>
    <t xml:space="preserve">EmoFace: Audio-driven Emotional 3D Face Animation</t>
  </si>
  <si>
    <t xml:space="preserve">C. Liu</t>
  </si>
  <si>
    <t xml:space="preserve">2024 IEEE Conference Virtual Reality and 3D User Interfaces (VR)</t>
  </si>
  <si>
    <t xml:space="preserve">10.1109/vr58804.2024.00060</t>
  </si>
  <si>
    <t xml:space="preserve">I191</t>
  </si>
  <si>
    <t xml:space="preserve">World Models: The Safety Perspective</t>
  </si>
  <si>
    <t xml:space="preserve">Z. Zeng</t>
  </si>
  <si>
    <t xml:space="preserve">2024 IEEE 35th International Symposium on Software Reliability Engineering Workshops (ISSREW)</t>
  </si>
  <si>
    <t xml:space="preserve">10.1109/issrew63542.2024.00104</t>
  </si>
  <si>
    <t xml:space="preserve">I192</t>
  </si>
  <si>
    <t xml:space="preserve">G. Heigold</t>
  </si>
  <si>
    <t xml:space="preserve">2023 IEEE/CVF International Conference on Computer Vision (ICCV)</t>
  </si>
  <si>
    <t xml:space="preserve">I193</t>
  </si>
  <si>
    <t xml:space="preserve">I194</t>
  </si>
  <si>
    <t xml:space="preserve">The Application of Virtual Character Modeling in the Art Design Intelligent Network Interactive Platform</t>
  </si>
  <si>
    <t xml:space="preserve">2022 Second International Conference on Artificial Intelligence and Smart Energy (ICAIS)</t>
  </si>
  <si>
    <t xml:space="preserve">10.1109/icais53314.2022.9742792</t>
  </si>
  <si>
    <t xml:space="preserve">I195</t>
  </si>
  <si>
    <t xml:space="preserve">Towards Dynamic World Model Generation with Monocular Video</t>
  </si>
  <si>
    <t xml:space="preserve">K. Li</t>
  </si>
  <si>
    <t xml:space="preserve">10.1109/icassp55912.2026.11463651</t>
  </si>
  <si>
    <t xml:space="preserve">I196</t>
  </si>
  <si>
    <t xml:space="preserve">NavMorph: A Self-Evolving World Model for Vision-and-Language Navigation in Continuous Environments</t>
  </si>
  <si>
    <t xml:space="preserve">X. Yao</t>
  </si>
  <si>
    <t xml:space="preserve">10.1109/iccv51701.2025.00525</t>
  </si>
  <si>
    <t xml:space="preserve">I197</t>
  </si>
  <si>
    <t xml:space="preserve">13 SIMULATIONS</t>
  </si>
  <si>
    <t xml:space="preserve">I198</t>
  </si>
  <si>
    <t xml:space="preserve">The Promise of Interactive Shared Augmented Reality</t>
  </si>
  <si>
    <t xml:space="preserve">L. E. Peitso</t>
  </si>
  <si>
    <t xml:space="preserve">Computer</t>
  </si>
  <si>
    <t xml:space="preserve">10.1109/mc.2019.2951981</t>
  </si>
  <si>
    <t xml:space="preserve">I199</t>
  </si>
  <si>
    <t xml:space="preserve">Robotic Tracking Control with Kernel Trick-based Reinforcement Learning</t>
  </si>
  <si>
    <t xml:space="preserve">Y. Hu</t>
  </si>
  <si>
    <t xml:space="preserve">2019 IEEE/RSJ International Conference on Intelligent Robots and Systems (IROS)</t>
  </si>
  <si>
    <t xml:space="preserve">10.1109/iros40897.2019.8968574</t>
  </si>
  <si>
    <t xml:space="preserve">I200</t>
  </si>
  <si>
    <t xml:space="preserve">H. Li</t>
  </si>
  <si>
    <t xml:space="preserve">I201</t>
  </si>
  <si>
    <t xml:space="preserve">A Credibility Assessment Approach for Scenario-Based Virtual Testing of Automated Driving Functions</t>
  </si>
  <si>
    <t xml:space="preserve">C. Stadler</t>
  </si>
  <si>
    <t xml:space="preserve">IEEE Open Journal of Intelligent Transportation Systems</t>
  </si>
  <si>
    <t xml:space="preserve">10.1109/ojits.2022.3140493</t>
  </si>
  <si>
    <t xml:space="preserve">I202</t>
  </si>
  <si>
    <t xml:space="preserve">The Extreme Value Machine</t>
  </si>
  <si>
    <t xml:space="preserve">E. M. Rudd</t>
  </si>
  <si>
    <t xml:space="preserve">10.1109/tpami.2017.2707495</t>
  </si>
  <si>
    <t xml:space="preserve">I203</t>
  </si>
  <si>
    <t xml:space="preserve">Should I Stay or Should I Go? How Constituent Systems Decide to Join or Leave Constellations in Collaborative SoS</t>
  </si>
  <si>
    <t xml:space="preserve">P. Svenson</t>
  </si>
  <si>
    <t xml:space="preserve">2021 16th International Conference of System of Systems Engineering (SoSE)</t>
  </si>
  <si>
    <t xml:space="preserve">10.1109/sose52739.2021.9497474</t>
  </si>
  <si>
    <t xml:space="preserve">I204</t>
  </si>
  <si>
    <t xml:space="preserve">K. G. Ranaweera</t>
  </si>
  <si>
    <t xml:space="preserve">2023 5th International Conference on Advancements in Computing (ICAC)</t>
  </si>
  <si>
    <t xml:space="preserve">I205</t>
  </si>
  <si>
    <t xml:space="preserve">Towards a Multivariate Scoring Metric for the Evaluation of Simulation Scenarios in Automated Driving</t>
  </si>
  <si>
    <t xml:space="preserve">2022 IEEE 25th International Conference on Intelligent Transportation Systems (ITSC)</t>
  </si>
  <si>
    <t xml:space="preserve">10.1109/itsc55140.2022.9922082</t>
  </si>
  <si>
    <t xml:space="preserve">I206</t>
  </si>
  <si>
    <t xml:space="preserve">Four Components of Interactive Projection Mapping Design Plan: Case Study by Using Building Block Toys for Learning</t>
  </si>
  <si>
    <t xml:space="preserve">M. S. Astriani</t>
  </si>
  <si>
    <t xml:space="preserve">2022 1st International Conference on Technology Innovation and Its Applications (ICTIIA)</t>
  </si>
  <si>
    <t xml:space="preserve">10.1109/ictiia54654.2022.9936016</t>
  </si>
  <si>
    <t xml:space="preserve">I207</t>
  </si>
  <si>
    <t xml:space="preserve">Capturing the Experiences of Simulated Writing for Novice Virtual Reality Users</t>
  </si>
  <si>
    <t xml:space="preserve">R. Shivener</t>
  </si>
  <si>
    <t xml:space="preserve">IEEE Transactions on Professional Communication</t>
  </si>
  <si>
    <t xml:space="preserve">10.1109/tpc.2025.3529095</t>
  </si>
  <si>
    <t xml:space="preserve">I208</t>
  </si>
  <si>
    <t xml:space="preserve">R. Shahane</t>
  </si>
  <si>
    <t xml:space="preserve">2025 International Conference on Information, Implementation, and Innovation in Technology (I2ITCON)</t>
  </si>
  <si>
    <t xml:space="preserve">I209</t>
  </si>
  <si>
    <t xml:space="preserve">Three-Dimensional Architectural Modeling and Decoration Design System based on Virtual Reality</t>
  </si>
  <si>
    <t xml:space="preserve">C. Han</t>
  </si>
  <si>
    <t xml:space="preserve">2020 3rd International Conference on Intelligent Sustainable Systems (ICISS)</t>
  </si>
  <si>
    <t xml:space="preserve">I210</t>
  </si>
  <si>
    <t xml:space="preserve">Fast Task Adaptation Based on the Combination of Model-Based and Gradient-Based Meta Learning</t>
  </si>
  <si>
    <t xml:space="preserve">Z. Xu</t>
  </si>
  <si>
    <t xml:space="preserve">10.1109/tcyb.2020.3028378</t>
  </si>
  <si>
    <t xml:space="preserve">I211</t>
  </si>
  <si>
    <t xml:space="preserve">O. Osikowicz</t>
  </si>
  <si>
    <t xml:space="preserve">2025 IEEE/ACM International Flaky Tests Workshop (FTW)</t>
  </si>
  <si>
    <t xml:space="preserve">I212</t>
  </si>
  <si>
    <t xml:space="preserve">2025 China Automation Congress (CAC)</t>
  </si>
  <si>
    <t xml:space="preserve">I213</t>
  </si>
  <si>
    <t xml:space="preserve">Tension Space Analysis for Emergent Narrative</t>
  </si>
  <si>
    <t xml:space="preserve">B. A. Kybartas</t>
  </si>
  <si>
    <t xml:space="preserve">10.1109/tg.2020.2989072</t>
  </si>
  <si>
    <t xml:space="preserve">I214</t>
  </si>
  <si>
    <t xml:space="preserve">DynamicAttention: Dynamic KV Cache for Disaggregate LLM Inference</t>
  </si>
  <si>
    <t xml:space="preserve">Z. Ding</t>
  </si>
  <si>
    <t xml:space="preserve">ICASSP 2025 - 2025 IEEE International Conference on Acoustics, Speech and Signal Processing (ICASSP)</t>
  </si>
  <si>
    <t xml:space="preserve">10.1109/icassp49660.2025.10890367</t>
  </si>
  <si>
    <t xml:space="preserve">I215</t>
  </si>
  <si>
    <t xml:space="preserve">Are ideal functionalities really ideal?</t>
  </si>
  <si>
    <t xml:space="preserve">M. Arapinis</t>
  </si>
  <si>
    <t xml:space="preserve">2026 IEEE 39th Computer Security Foundations Symposium (CSF)</t>
  </si>
  <si>
    <t xml:space="preserve">10.1109/csf68417.2026.00003</t>
  </si>
  <si>
    <t xml:space="preserve">I216</t>
  </si>
  <si>
    <t xml:space="preserve">Y. Miyake</t>
  </si>
  <si>
    <t xml:space="preserve">2023 IEEE International Smart Cities Conference (ISC2)</t>
  </si>
  <si>
    <t xml:space="preserve">I217</t>
  </si>
  <si>
    <t xml:space="preserve">14 ROLE-PLAY</t>
  </si>
  <si>
    <t xml:space="preserve">I218</t>
  </si>
  <si>
    <t xml:space="preserve">2026 IEEE 6th International Conference on Electronic Technology, Communication and Information (ICETCI)</t>
  </si>
  <si>
    <t xml:space="preserve">I219</t>
  </si>
  <si>
    <t xml:space="preserve">I220</t>
  </si>
  <si>
    <t xml:space="preserve">Reimagination with Test-time Observation Interventions: Distractor-Robust World Model Predictions for Visual Model Predictive Control</t>
  </si>
  <si>
    <t xml:space="preserve">2026 IEEE International Conference on Robotics and Automation (ICRA)</t>
  </si>
  <si>
    <t xml:space="preserve">10.1109/icra57385.2026.11696601</t>
  </si>
  <si>
    <t xml:space="preserve">I221</t>
  </si>
  <si>
    <t xml:space="preserve">P. Lorang</t>
  </si>
  <si>
    <t xml:space="preserve">I222</t>
  </si>
  <si>
    <t xml:space="preserve">Blockchain in Digital Twins-Based Vehicle Management in VANETs</t>
  </si>
  <si>
    <t xml:space="preserve">H. Feng</t>
  </si>
  <si>
    <t xml:space="preserve">10.1109/tits.2022.3202439</t>
  </si>
  <si>
    <t xml:space="preserve">I223</t>
  </si>
  <si>
    <t xml:space="preserve">Modeling and Study of Information Transfer in Complex Network</t>
  </si>
  <si>
    <t xml:space="preserve">C. Deng</t>
  </si>
  <si>
    <t xml:space="preserve">2018 International Conference on Sensing,Diagnostics, Prognostics, and Control (SDPC)</t>
  </si>
  <si>
    <t xml:space="preserve">10.1109/sdpc.2018.8664824</t>
  </si>
  <si>
    <t xml:space="preserve">I224</t>
  </si>
  <si>
    <t xml:space="preserve">A. V. Puche</t>
  </si>
  <si>
    <t xml:space="preserve">2022 IEEE/RSJ International Conference on Intelligent Robots and Systems (IROS)</t>
  </si>
  <si>
    <t xml:space="preserve">I225</t>
  </si>
  <si>
    <t xml:space="preserve">UniFuture: A 4D Driving World Model for Future Generation and Perception</t>
  </si>
  <si>
    <t xml:space="preserve">D. Liang</t>
  </si>
  <si>
    <t xml:space="preserve">10.1109/icra57385.2026.11697184</t>
  </si>
  <si>
    <t xml:space="preserve">I226</t>
  </si>
  <si>
    <t xml:space="preserve">T. -X. Xu</t>
  </si>
  <si>
    <t xml:space="preserve">I227</t>
  </si>
  <si>
    <t xml:space="preserve">Agile Hauler Curriculum: Learning High-Speed Locomotion for Robots under Demanding Payloads</t>
  </si>
  <si>
    <t xml:space="preserve">10.1109/icra57385.2026.11695866</t>
  </si>
  <si>
    <t xml:space="preserve">I228</t>
  </si>
  <si>
    <t xml:space="preserve">Toxic Comment Detection and Suggestion System</t>
  </si>
  <si>
    <t xml:space="preserve">S. Sandhya</t>
  </si>
  <si>
    <t xml:space="preserve">2026 International Conference on Machine Learning and Autonomous Systems (ICMLAS)</t>
  </si>
  <si>
    <t xml:space="preserve">10.1109/icmlas67792.2026.11483875</t>
  </si>
  <si>
    <t xml:space="preserve">I229</t>
  </si>
  <si>
    <t xml:space="preserve">SceneDiffuser++: City-Scale Traffic Simulation via a Generative World Model</t>
  </si>
  <si>
    <t xml:space="preserve">S. Tan</t>
  </si>
  <si>
    <t xml:space="preserve">10.1109/cvpr52734.2025.00154</t>
  </si>
  <si>
    <t xml:space="preserve">I230</t>
  </si>
  <si>
    <t xml:space="preserve">Generated Reality: Human-centric World Simulation using Interactive Video Generation with Hand and Camera Control</t>
  </si>
  <si>
    <t xml:space="preserve">2026 IEEE/CVF Conference on Computer Vision and Pattern Recognition- FINDINGS Track (CVPRF)</t>
  </si>
  <si>
    <t xml:space="preserve">10.1109/cvprf71909.2026.00387</t>
  </si>
  <si>
    <t xml:space="preserve">I231</t>
  </si>
  <si>
    <t xml:space="preserve">L. Xiao</t>
  </si>
  <si>
    <t xml:space="preserve">I232</t>
  </si>
  <si>
    <t xml:space="preserve">Experimentable Digital Twins—Streamlining Simulation-Based Systems Engineering for Industry 4.0</t>
  </si>
  <si>
    <t xml:space="preserve">M. Schluse</t>
  </si>
  <si>
    <t xml:space="preserve">IEEE Transactions on Industrial Informatics</t>
  </si>
  <si>
    <t xml:space="preserve">10.1109/tii.2018.2804917</t>
  </si>
  <si>
    <t xml:space="preserve">I233</t>
  </si>
  <si>
    <t xml:space="preserve">Empowering the Metaverse with Generative AI: Survey and Future Directions</t>
  </si>
  <si>
    <t xml:space="preserve">H. X. Qin</t>
  </si>
  <si>
    <t xml:space="preserve">2023 IEEE 43rd International Conference on Distributed Computing Systems Workshops (ICDCSW)</t>
  </si>
  <si>
    <t xml:space="preserve">10.1109/icdcsw60045.2023.00022</t>
  </si>
  <si>
    <t xml:space="preserve">I234</t>
  </si>
  <si>
    <t xml:space="preserve">Prototyping Automotive Smart Ecosystems</t>
  </si>
  <si>
    <t xml:space="preserve">E. Cioroaica</t>
  </si>
  <si>
    <t xml:space="preserve">2018 48th Annual IEEE/IFIP International Conference on Dependable Systems and Networks Workshops (DSN-W)</t>
  </si>
  <si>
    <t xml:space="preserve">10.1109/dsn-w.2018.00072</t>
  </si>
  <si>
    <t xml:space="preserve">I235</t>
  </si>
  <si>
    <t xml:space="preserve">Development of the Software for Examination of the Crime Scene by Using Virtual Reality, Based on Spherical Panoramic Shot and 3D-Scanning</t>
  </si>
  <si>
    <t xml:space="preserve">G. Rusman</t>
  </si>
  <si>
    <t xml:space="preserve">2020 Global Smart Industry Conference (GloSIC)</t>
  </si>
  <si>
    <t xml:space="preserve">10.1109/glosic50886.2020.9267871</t>
  </si>
  <si>
    <t xml:space="preserve">I236</t>
  </si>
  <si>
    <t xml:space="preserve">WSN-Based Data-Driven Digital Twin for Energy Efficient HVAC Systems</t>
  </si>
  <si>
    <t xml:space="preserve">M. Alosta</t>
  </si>
  <si>
    <t xml:space="preserve">2023 IEEE Third International Conference on Signal, Control and Communication (SCC)</t>
  </si>
  <si>
    <t xml:space="preserve">10.1109/scc59637.2023.10527716</t>
  </si>
  <si>
    <t xml:space="preserve">I237</t>
  </si>
  <si>
    <t xml:space="preserve">An approach to modeling of smart agricultural services and scenarious</t>
  </si>
  <si>
    <t xml:space="preserve">T. Glushkova</t>
  </si>
  <si>
    <t xml:space="preserve">2022 IEEE 11th International Conference on Intelligent Systems (IS)</t>
  </si>
  <si>
    <t xml:space="preserve">10.1109/is57118.2022.10019723</t>
  </si>
  <si>
    <t xml:space="preserve">I238</t>
  </si>
  <si>
    <t xml:space="preserve">Towards Scalable P&amp;ID Digitization: Evaluating Open-World Object Detectors for Symbol Recognition in P&amp;ID Digitization Workflows</t>
  </si>
  <si>
    <t xml:space="preserve">S. Palacio</t>
  </si>
  <si>
    <t xml:space="preserve">AUTOMATION 2026, Innovation trifft Anwendung</t>
  </si>
  <si>
    <t xml:space="preserve">I239</t>
  </si>
  <si>
    <t xml:space="preserve">Digital Twin in Industry 4.0: Technologies, Applications and Challenges</t>
  </si>
  <si>
    <t xml:space="preserve">F. Pires</t>
  </si>
  <si>
    <t xml:space="preserve">2019 IEEE 17th International Conference on Industrial Informatics (INDIN)</t>
  </si>
  <si>
    <t xml:space="preserve">10.1109/indin41052.2019.8972134</t>
  </si>
  <si>
    <t xml:space="preserve">I240</t>
  </si>
  <si>
    <t xml:space="preserve">How Simulation Helps Autonomous Driving: A Survey of Sim2real, Digital Twins, and Parallel Intelligence</t>
  </si>
  <si>
    <t xml:space="preserve">X. Hu</t>
  </si>
  <si>
    <t xml:space="preserve">10.1109/tiv.2023.3312777</t>
  </si>
  <si>
    <t xml:space="preserve">I241</t>
  </si>
  <si>
    <t xml:space="preserve">Autonomous Driving Test Method Based on Digital Twin: A Survey</t>
  </si>
  <si>
    <t xml:space="preserve">A. Niaz</t>
  </si>
  <si>
    <t xml:space="preserve">2021 International Conference on Computing, Electronic and Electrical Engineering (ICE Cube)</t>
  </si>
  <si>
    <t xml:space="preserve">10.1109/icecube53880.2021.9628341</t>
  </si>
  <si>
    <t xml:space="preserve">I242</t>
  </si>
  <si>
    <t xml:space="preserve">P. B. Karthik</t>
  </si>
  <si>
    <t xml:space="preserve">2020 6th International Conference on Control, Automation and Robotics (ICCAR)</t>
  </si>
  <si>
    <t xml:space="preserve">I243</t>
  </si>
  <si>
    <t xml:space="preserve">Low-Carbon Economy Optimization Operation of Cold-Heat-Electricity Integrated Energy System Based on Digital Twin</t>
  </si>
  <si>
    <t xml:space="preserve">T. Peng</t>
  </si>
  <si>
    <t xml:space="preserve">2023 Power Electronics and Power System Conference (PEPSC)</t>
  </si>
  <si>
    <t xml:space="preserve">10.1109/pepsc58749.2023.10395744</t>
  </si>
  <si>
    <t xml:space="preserve">I244</t>
  </si>
  <si>
    <t xml:space="preserve">Digital twin of wireless channels for the intelligent transportation system [Intelligent Transport Systems]</t>
  </si>
  <si>
    <t xml:space="preserve">M. Zhang</t>
  </si>
  <si>
    <t xml:space="preserve">IEEE Potentials</t>
  </si>
  <si>
    <t xml:space="preserve">10.1109/mpot.2026.3662896</t>
  </si>
  <si>
    <t xml:space="preserve">I245</t>
  </si>
  <si>
    <t xml:space="preserve">R. Po</t>
  </si>
  <si>
    <t xml:space="preserve">I246</t>
  </si>
  <si>
    <t xml:space="preserve">Situation Awareness and Decision Making for Constituent Systems</t>
  </si>
  <si>
    <t xml:space="preserve">2020 IEEE 15th International Conference of System of Systems Engineering (SoSE)</t>
  </si>
  <si>
    <t xml:space="preserve">10.1109/sose50414.2020.9130539</t>
  </si>
  <si>
    <t xml:space="preserve">I247</t>
  </si>
  <si>
    <t xml:space="preserve">F. Supriadi</t>
  </si>
  <si>
    <t xml:space="preserve">2020 8th International Conference on Cyber and IT Service Management (CITSM)</t>
  </si>
  <si>
    <t xml:space="preserve">I248</t>
  </si>
  <si>
    <t xml:space="preserve">Y. Jia</t>
  </si>
  <si>
    <t xml:space="preserve">I249</t>
  </si>
  <si>
    <t xml:space="preserve">A Motion Planning and Tracking Framework for Autonomous Vehicles Based on Artificial Potential Field Elaborated Resistance Network Approach</t>
  </si>
  <si>
    <t xml:space="preserve">Y. Huang</t>
  </si>
  <si>
    <t xml:space="preserve">IEEE Transactions on Industrial Electronics</t>
  </si>
  <si>
    <t xml:space="preserve">10.1109/tie.2019.2898599</t>
  </si>
  <si>
    <t xml:space="preserve">I250</t>
  </si>
  <si>
    <t xml:space="preserve">Process Manufacturing Intelligence Empowered by Industrial Metaverse: A Survey</t>
  </si>
  <si>
    <t xml:space="preserve">W. Luo</t>
  </si>
  <si>
    <t xml:space="preserve">10.1109/tcyb.2024.3420958</t>
  </si>
  <si>
    <t xml:space="preserve">I251</t>
  </si>
  <si>
    <t xml:space="preserve">Digital Twin-Based Obstacle Avoidance for Unmanned Aerial Vehicles Using Feedforward-Feedback Control</t>
  </si>
  <si>
    <t xml:space="preserve">H. Yang</t>
  </si>
  <si>
    <t xml:space="preserve">10.1109/tvt.2025.3536776</t>
  </si>
  <si>
    <t xml:space="preserve">I252</t>
  </si>
  <si>
    <t xml:space="preserve">An Implementation of User-Level Processes using Address Space Sharing</t>
  </si>
  <si>
    <t xml:space="preserve">A. Hori</t>
  </si>
  <si>
    <t xml:space="preserve">2020 IEEE International Parallel and Distributed Processing Symposium Workshops (IPDPSW)</t>
  </si>
  <si>
    <t xml:space="preserve">10.1109/ipdpsw50202.2020.00161</t>
  </si>
  <si>
    <t xml:space="preserve">I253</t>
  </si>
  <si>
    <t xml:space="preserve">Digital Twin-Based Collision Avoidance Planning and Control for Unmanned Aerial Vehicles with Dynamic Obstacles</t>
  </si>
  <si>
    <t xml:space="preserve">10.1109/tvt.2026.3713590</t>
  </si>
  <si>
    <t xml:space="preserve">I254</t>
  </si>
  <si>
    <t xml:space="preserve">Hierarchical Hybrid Automata: A Theoretical Basis for the Digital Twin Approach</t>
  </si>
  <si>
    <t xml:space="preserve">M. K. Traoré</t>
  </si>
  <si>
    <t xml:space="preserve">2025 Winter Simulation Conference (WSC)</t>
  </si>
  <si>
    <t xml:space="preserve">10.1109/wsc68292.2025.11338965</t>
  </si>
  <si>
    <t xml:space="preserve">I255</t>
  </si>
  <si>
    <t xml:space="preserve">Digital Twin Fault Diagnosis Model of Industrial Production Line Based on Deep Learning</t>
  </si>
  <si>
    <t xml:space="preserve">L. Liao</t>
  </si>
  <si>
    <t xml:space="preserve">2026 5th International Conference on Electronics Technology and Artificial Intelligence (ETAI)</t>
  </si>
  <si>
    <t xml:space="preserve">10.1109/etai68332.2026.11485244</t>
  </si>
  <si>
    <t xml:space="preserve">I256</t>
  </si>
  <si>
    <t xml:space="preserve">Immersive Computing: What to Expect in a Decade?</t>
  </si>
  <si>
    <t xml:space="preserve">S. Chen</t>
  </si>
  <si>
    <t xml:space="preserve">IEEE Internet Computing</t>
  </si>
  <si>
    <t xml:space="preserve">10.1109/mic.2024.3388808</t>
  </si>
  <si>
    <t xml:space="preserve">I257</t>
  </si>
  <si>
    <t xml:space="preserve">Goal-VLA: Image-Generative VLMs as Object-Centric World Models Empowering Zero-shot Robot Manipulation</t>
  </si>
  <si>
    <t xml:space="preserve">H. Chen</t>
  </si>
  <si>
    <t xml:space="preserve">10.1109/icra57385.2026.11696379</t>
  </si>
  <si>
    <t xml:space="preserve">I258</t>
  </si>
  <si>
    <t xml:space="preserve">Z. Li</t>
  </si>
  <si>
    <t xml:space="preserve">2024 4th International Symposium on Artificial Intelligence and Intelligent Manufacturing (AIIM)</t>
  </si>
  <si>
    <t xml:space="preserve">I259</t>
  </si>
  <si>
    <t xml:space="preserve">K. Y. Lee</t>
  </si>
  <si>
    <t xml:space="preserve">2024 Fifteenth International Conference on Ubiquitous and Future Networks (ICUFN)</t>
  </si>
  <si>
    <t xml:space="preserve">I260</t>
  </si>
  <si>
    <t xml:space="preserve">Autonomous Mobility-on-Demand Real-Time Gaming Framework</t>
  </si>
  <si>
    <t xml:space="preserve">F. Dandl</t>
  </si>
  <si>
    <t xml:space="preserve">2019 6th International Conference on Models and Technologies for Intelligent Transportation Systems (MT-ITS)</t>
  </si>
  <si>
    <t xml:space="preserve">I261</t>
  </si>
  <si>
    <t xml:space="preserve">Research on Application of Computer Big Data Technology in Robot Soccer Simulation Platform Based on OpenGL</t>
  </si>
  <si>
    <t xml:space="preserve">2022 IEEE 2nd International Conference on Power, Electronics and Computer Applications (ICPECA)</t>
  </si>
  <si>
    <t xml:space="preserve">10.1109/icpeca53709.2022.9719248</t>
  </si>
  <si>
    <t xml:space="preserve">I262</t>
  </si>
  <si>
    <t xml:space="preserve">7 Convergence of AR &amp; VR with IoT</t>
  </si>
  <si>
    <t xml:space="preserve">L. Das</t>
  </si>
  <si>
    <t xml:space="preserve">Handbook of Augmented and Virtual Reality</t>
  </si>
  <si>
    <t xml:space="preserve">I263</t>
  </si>
  <si>
    <t xml:space="preserve">Domain-Specific Probabilistic Programming with Multiverse Explorer</t>
  </si>
  <si>
    <t xml:space="preserve">A. F. Blackwell</t>
  </si>
  <si>
    <t xml:space="preserve">2023 IEEE Symposium on Visual Languages and Human-Centric Computing (VL/HCC)</t>
  </si>
  <si>
    <t xml:space="preserve">10.1109/vl-hcc57772.2023.00022</t>
  </si>
  <si>
    <t xml:space="preserve">I264</t>
  </si>
  <si>
    <t xml:space="preserve">D. M. Ackerman</t>
  </si>
  <si>
    <t xml:space="preserve">2024 IEEE ANDESCON</t>
  </si>
  <si>
    <t xml:space="preserve">I265</t>
  </si>
  <si>
    <t xml:space="preserve">H. Singh</t>
  </si>
  <si>
    <t xml:space="preserve">2026 7th International Conference on Smart Systems and Inventive Technology (ICSSIT)</t>
  </si>
  <si>
    <t xml:space="preserve">I266</t>
  </si>
  <si>
    <t xml:space="preserve">Website Fingerprinting Through the Cache Occupancy Channel and its Real World Practicality</t>
  </si>
  <si>
    <t xml:space="preserve">A. Shusterman</t>
  </si>
  <si>
    <t xml:space="preserve">IEEE Transactions on Dependable and Secure Computing</t>
  </si>
  <si>
    <t xml:space="preserve">10.1109/tdsc.2020.2988369</t>
  </si>
  <si>
    <t xml:space="preserve">I267</t>
  </si>
  <si>
    <t xml:space="preserve">Optimal DoS Attack Energy Allocation in Cyber–Physical Systems Based on Deep Reinforcement Learning</t>
  </si>
  <si>
    <t xml:space="preserve">J. Jiang</t>
  </si>
  <si>
    <t xml:space="preserve">IEEE Internet of Things Journal</t>
  </si>
  <si>
    <t xml:space="preserve">10.1109/jiot.2025.3587647</t>
  </si>
  <si>
    <t xml:space="preserve">I268</t>
  </si>
  <si>
    <t xml:space="preserve">Semantic Relational Object Tracking</t>
  </si>
  <si>
    <t xml:space="preserve">A. Persson</t>
  </si>
  <si>
    <t xml:space="preserve">I269</t>
  </si>
  <si>
    <t xml:space="preserve">2022 China Automation Congress (CAC)</t>
  </si>
  <si>
    <t xml:space="preserve">I270</t>
  </si>
  <si>
    <t xml:space="preserve">Grid-Centric Traffic Scenario Perception for Autonomous Driving: A Comprehensive Review</t>
  </si>
  <si>
    <t xml:space="preserve">Y. Shi</t>
  </si>
  <si>
    <t xml:space="preserve">10.1109/tnnls.2024.3495045</t>
  </si>
  <si>
    <t xml:space="preserve">I271</t>
  </si>
  <si>
    <t xml:space="preserve">Z. Ma</t>
  </si>
  <si>
    <t xml:space="preserve">I272</t>
  </si>
  <si>
    <t xml:space="preserve">O. J. Reynolds</t>
  </si>
  <si>
    <t xml:space="preserve">2025 ACM/IEEE 28th International Conference on Model Driven Engineering Languages and Systems Companion (MODELS-C)</t>
  </si>
  <si>
    <t xml:space="preserve">I273</t>
  </si>
  <si>
    <t xml:space="preserve">F. Riccio</t>
  </si>
  <si>
    <t xml:space="preserve">2018 IEEE International Conference on Robotics and Automation (ICRA)</t>
  </si>
  <si>
    <t xml:space="preserve">I274</t>
  </si>
  <si>
    <t xml:space="preserve">Continuous Control With a Combination of Supervised and Reinforcement Learning</t>
  </si>
  <si>
    <t xml:space="preserve">D. Kangin</t>
  </si>
  <si>
    <t xml:space="preserve">2018 International Joint Conference on Neural Networks (IJCNN)</t>
  </si>
  <si>
    <t xml:space="preserve">10.1109/ijcnn.2018.8489702</t>
  </si>
  <si>
    <t xml:space="preserve">I275</t>
  </si>
  <si>
    <t xml:space="preserve">V. Zyrianov</t>
  </si>
  <si>
    <t xml:space="preserve">I276</t>
  </si>
  <si>
    <t xml:space="preserve">Active Inference: Demystified and Compared</t>
  </si>
  <si>
    <t xml:space="preserve">N. Sajid</t>
  </si>
  <si>
    <t xml:space="preserve">Neural Computation</t>
  </si>
  <si>
    <t xml:space="preserve">10.1162/neco_a_01357</t>
  </si>
  <si>
    <t xml:space="preserve">I277</t>
  </si>
  <si>
    <t xml:space="preserve">C. Beam</t>
  </si>
  <si>
    <t xml:space="preserve">SoutheastCon 2024</t>
  </si>
  <si>
    <t xml:space="preserve">I278</t>
  </si>
  <si>
    <t xml:space="preserve">Reinforcement Learning-Based Motion Planning for Automatic Parking System</t>
  </si>
  <si>
    <t xml:space="preserve">J. Zhang</t>
  </si>
  <si>
    <t xml:space="preserve">10.1109/access.2020.3017770</t>
  </si>
  <si>
    <t xml:space="preserve">I279</t>
  </si>
  <si>
    <t xml:space="preserve">Y. Yasuda</t>
  </si>
  <si>
    <t xml:space="preserve">2025 IEEE International Conference on Smart Computing (SMARTCOMP)</t>
  </si>
  <si>
    <t xml:space="preserve">I280</t>
  </si>
  <si>
    <t xml:space="preserve">Benchmarking Distributed Stream Data Processing Systems</t>
  </si>
  <si>
    <t xml:space="preserve">J. Karimov</t>
  </si>
  <si>
    <t xml:space="preserve">2018 IEEE 34th International Conference on Data Engineering (ICDE)</t>
  </si>
  <si>
    <t xml:space="preserve">I281</t>
  </si>
  <si>
    <t xml:space="preserve">Roadmap of Computational Experiment Method</t>
  </si>
  <si>
    <t xml:space="preserve">X. Xue</t>
  </si>
  <si>
    <t xml:space="preserve">Computational Experiments: A Bridge between Artificial Intelligence and Social Sciences</t>
  </si>
  <si>
    <t xml:space="preserve">10.1002/9781394377480.ch12</t>
  </si>
  <si>
    <t xml:space="preserve">I282</t>
  </si>
  <si>
    <t xml:space="preserve">S. Jha</t>
  </si>
  <si>
    <t xml:space="preserve">2023 60th ACM/IEEE Design Automation Conference (DAC)</t>
  </si>
  <si>
    <t xml:space="preserve">I283</t>
  </si>
  <si>
    <t xml:space="preserve">Decentralized Autonomous Operations and Organizations in TransVerse: Federated Intelligence for Smart Mobility</t>
  </si>
  <si>
    <t xml:space="preserve">C. Zhao</t>
  </si>
  <si>
    <t xml:space="preserve">10.1109/tsmc.2022.3228914</t>
  </si>
  <si>
    <t xml:space="preserve">I284</t>
  </si>
  <si>
    <t xml:space="preserve">A. Kshirsagar</t>
  </si>
  <si>
    <t xml:space="preserve">2022 2nd International Conference on Robotics, Automation and Artificial Intelligence (RAAI)</t>
  </si>
  <si>
    <t xml:space="preserve">I285</t>
  </si>
  <si>
    <t xml:space="preserve">Synthetic Examples Improve Generalization for Rare Classes</t>
  </si>
  <si>
    <t xml:space="preserve">S. Beery</t>
  </si>
  <si>
    <t xml:space="preserve">2020 IEEE Winter Conference on Applications of Computer Vision (WACV)</t>
  </si>
  <si>
    <t xml:space="preserve">10.1109/wacv45572.2020.9093570</t>
  </si>
  <si>
    <t xml:space="preserve">I286</t>
  </si>
  <si>
    <t xml:space="preserve">D. Nayab</t>
  </si>
  <si>
    <t xml:space="preserve">2024 IEEE International Symposium on Emerging Metaverse (ISEMV)</t>
  </si>
  <si>
    <t xml:space="preserve">I287</t>
  </si>
  <si>
    <t xml:space="preserve">L. Zacchini</t>
  </si>
  <si>
    <t xml:space="preserve">I288</t>
  </si>
  <si>
    <t xml:space="preserve">Non-Real-Time Digital Twin for Energy-Efficient Task Offloading in Mobile Edge Computing</t>
  </si>
  <si>
    <t xml:space="preserve">C. Luo</t>
  </si>
  <si>
    <t xml:space="preserve">IEEE Transactions on Network Science and Engineering</t>
  </si>
  <si>
    <t xml:space="preserve">10.1109/tnse.2026.3708318</t>
  </si>
  <si>
    <t xml:space="preserve">I289</t>
  </si>
  <si>
    <t xml:space="preserve">D. Dugas</t>
  </si>
  <si>
    <t xml:space="preserve">I290</t>
  </si>
  <si>
    <t xml:space="preserve">EgoTL: Egocentric Think-Aloud Chains for Long-Horizon Tasks</t>
  </si>
  <si>
    <t xml:space="preserve">10.1109/cvprf71909.2026.00198</t>
  </si>
  <si>
    <t xml:space="preserve">I291</t>
  </si>
  <si>
    <t xml:space="preserve">M. -R. S. Noorani</t>
  </si>
  <si>
    <t xml:space="preserve">2025 32nd National and 10th International Iranian Conference on Biomedical Engineering (ICBME)</t>
  </si>
  <si>
    <t xml:space="preserve">I292</t>
  </si>
  <si>
    <t xml:space="preserve">Language-Driven Open-Vocabulary 3D Semantic Segmentation with Knowledge Distillation</t>
  </si>
  <si>
    <t xml:space="preserve">Y. Wu</t>
  </si>
  <si>
    <t xml:space="preserve">ICASSP 2024 - 2024 IEEE International Conference on Acoustics, Speech and Signal Processing (ICASSP)</t>
  </si>
  <si>
    <t xml:space="preserve">I293</t>
  </si>
  <si>
    <t xml:space="preserve">Machine Learning for Embodied Agents: From Signals to Symbols and Actions</t>
  </si>
  <si>
    <t xml:space="preserve">2019 Signal Processing: Algorithms, Architectures, Arrangements, and Applications (SPA)</t>
  </si>
  <si>
    <t xml:space="preserve">10.23919/spa.2019.8936736</t>
  </si>
  <si>
    <t xml:space="preserve">I294</t>
  </si>
  <si>
    <t xml:space="preserve">Toward Assured Autonomy Using Neurosymbolic Components and Systems</t>
  </si>
  <si>
    <t xml:space="preserve">A. Dubey</t>
  </si>
  <si>
    <t xml:space="preserve">Neurosymbolic AI: Foundations and Applications</t>
  </si>
  <si>
    <t xml:space="preserve">10.1002/9781394302406.ch04</t>
  </si>
  <si>
    <t xml:space="preserve">I295</t>
  </si>
  <si>
    <t xml:space="preserve">A. Zimmermann</t>
  </si>
  <si>
    <t xml:space="preserve">2018 IEEE 22nd International Enterprise Distributed Object Computing Workshop (EDOCW)</t>
  </si>
  <si>
    <t xml:space="preserve">I296</t>
  </si>
  <si>
    <t xml:space="preserve">Synthesized Trust Learning from Limited Human Feedback for Human-Load-Reduced Multi-Robot Deployments</t>
  </si>
  <si>
    <t xml:space="preserve">Y. Pang</t>
  </si>
  <si>
    <t xml:space="preserve">2021 30th IEEE International Conference on Robot &amp; Human Interactive Communication (RO-MAN)</t>
  </si>
  <si>
    <t xml:space="preserve">I297</t>
  </si>
  <si>
    <t xml:space="preserve">Physical world generation models embedded in digital twin framework: a novel paradigm</t>
  </si>
  <si>
    <t xml:space="preserve">I. Li</t>
  </si>
  <si>
    <t xml:space="preserve">IET International Conference on Digital Twins and Applications (DTA APAC 2026)</t>
  </si>
  <si>
    <t xml:space="preserve">I298</t>
  </si>
  <si>
    <t xml:space="preserve">S. Luo</t>
  </si>
  <si>
    <t xml:space="preserve">I299</t>
  </si>
  <si>
    <t xml:space="preserve">A. Spector</t>
  </si>
  <si>
    <t xml:space="preserve">2022 IEEE/ACM International Conference on Big Data Computing, Applications and Technologies (BDCAT)</t>
  </si>
  <si>
    <t xml:space="preserve">I300</t>
  </si>
  <si>
    <t xml:space="preserve">F. Baumeister</t>
  </si>
  <si>
    <t xml:space="preserve">I301</t>
  </si>
  <si>
    <t xml:space="preserve">J. -F. Tremblay</t>
  </si>
  <si>
    <t xml:space="preserve">I302</t>
  </si>
  <si>
    <t xml:space="preserve">S. Kumar</t>
  </si>
  <si>
    <t xml:space="preserve">2025 IEEE Guwahati Subsection Conference (GCON)</t>
  </si>
  <si>
    <t xml:space="preserve">I303</t>
  </si>
  <si>
    <t xml:space="preserve">I304</t>
  </si>
  <si>
    <t xml:space="preserve">Learning a Particle Dynamics Model with Real-World Videos</t>
  </si>
  <si>
    <t xml:space="preserve">10.1109/cvprf71909.2026.00052</t>
  </si>
  <si>
    <t xml:space="preserve">I305</t>
  </si>
  <si>
    <t xml:space="preserve">T. Phuong Nguyen</t>
  </si>
  <si>
    <t xml:space="preserve">I306</t>
  </si>
  <si>
    <t xml:space="preserve">H. T. Hoang</t>
  </si>
  <si>
    <t xml:space="preserve">2025 Asia Meeting on Environment and Electrical Engineering (EEE-AM)</t>
  </si>
  <si>
    <t xml:space="preserve">I307</t>
  </si>
  <si>
    <t xml:space="preserve">Artificial General Intelligence (AGI–Native Wireless Systems with Common Sense</t>
  </si>
  <si>
    <t xml:space="preserve">W. Saad</t>
  </si>
  <si>
    <t xml:space="preserve">2024 International Conference on Advanced Technologies for Communications (ATC)</t>
  </si>
  <si>
    <t xml:space="preserve">10.1109/atc63255.2024.10908345</t>
  </si>
  <si>
    <t xml:space="preserve">A001</t>
  </si>
  <si>
    <t xml:space="preserve">ACM DL</t>
  </si>
  <si>
    <t xml:space="preserve">Ding, Andrew</t>
  </si>
  <si>
    <t xml:space="preserve">Proceedings of the ACM/IEEE International Symposium on Low Power Electronics and Design</t>
  </si>
  <si>
    <t xml:space="preserve">A002</t>
  </si>
  <si>
    <t xml:space="preserve">Liu, Nairong</t>
  </si>
  <si>
    <t xml:space="preserve">Proceedings of the ACM Workshop on Wireless Network Testbeds, Experimental Evaluation &amp; Characterization</t>
  </si>
  <si>
    <t xml:space="preserve">A003</t>
  </si>
  <si>
    <t xml:space="preserve">Balloch, Jonathan C.</t>
  </si>
  <si>
    <t xml:space="preserve">Proceedings of the 2023 International Conference on Autonomous Agents and Multiagent Systems</t>
  </si>
  <si>
    <t xml:space="preserve">A004</t>
  </si>
  <si>
    <t xml:space="preserve">Zhang, Cheng</t>
  </si>
  <si>
    <t xml:space="preserve">Proceedings of the 2026 3rd International Conference on Machine Learning, Natural Language Processing and Modeling</t>
  </si>
  <si>
    <t xml:space="preserve">A005</t>
  </si>
  <si>
    <t xml:space="preserve">Wang, Zhizun</t>
  </si>
  <si>
    <t xml:space="preserve">Proceedings of the 25th International Conference on Autonomous Agents and Multiagent Systems</t>
  </si>
  <si>
    <t xml:space="preserve">A006</t>
  </si>
  <si>
    <t xml:space="preserve">Finite Automata Extraction: Low-data World Model Learning as Programs from Gameplay Video</t>
  </si>
  <si>
    <t xml:space="preserve">Goel, Dave</t>
  </si>
  <si>
    <t xml:space="preserve">Proceedings of the 21st International Conference on the Foundations of Digital Games</t>
  </si>
  <si>
    <t xml:space="preserve">10.1145/3815598.3815632</t>
  </si>
  <si>
    <t xml:space="preserve">A007</t>
  </si>
  <si>
    <t xml:space="preserve">Voxel World Models: Sparse Autoregressive Voxel Environment Generation</t>
  </si>
  <si>
    <t xml:space="preserve">Lewis, Ryan Hardesty</t>
  </si>
  <si>
    <t xml:space="preserve">Proceedings of the Special Interest Group on Computer Graphics and Interactive Techniques Conference Posters</t>
  </si>
  <si>
    <t xml:space="preserve">10.1145/3799825.3818774</t>
  </si>
  <si>
    <t xml:space="preserve">A008</t>
  </si>
  <si>
    <t xml:space="preserve">Will GenAI and World Models Give the Metaverse a Second Life-</t>
  </si>
  <si>
    <t xml:space="preserve">Yin, Mingrui</t>
  </si>
  <si>
    <t xml:space="preserve">GetMobile: Mobile Comp. and Comm.</t>
  </si>
  <si>
    <t xml:space="preserve">10.1145/3833428.3833429</t>
  </si>
  <si>
    <t xml:space="preserve">A009</t>
  </si>
  <si>
    <t xml:space="preserve">Chen, Shuang</t>
  </si>
  <si>
    <t xml:space="preserve">A010</t>
  </si>
  <si>
    <t xml:space="preserve">Xu, Tian-Xing</t>
  </si>
  <si>
    <t xml:space="preserve">Proceedings of the Special Interest Group on Computer Graphics and Interactive Techniques Conference Conference Papers</t>
  </si>
  <si>
    <t xml:space="preserve">A011</t>
  </si>
  <si>
    <t xml:space="preserve">Chian, Ying Xuan</t>
  </si>
  <si>
    <t xml:space="preserve">Proceedings of the 26th International Academic Mindtrek Conference</t>
  </si>
  <si>
    <t xml:space="preserve">A012</t>
  </si>
  <si>
    <t xml:space="preserve">Probabilistic Databases with an Infinite Open-World Assumption</t>
  </si>
  <si>
    <t xml:space="preserve">Grohe, Martin</t>
  </si>
  <si>
    <t xml:space="preserve">Proceedings of the 38th ACM SIGMOD-SIGACT-SIGAI Symposium on Principles of Database Systems</t>
  </si>
  <si>
    <t xml:space="preserve">A013</t>
  </si>
  <si>
    <t xml:space="preserve">Shacklett, Brennan</t>
  </si>
  <si>
    <t xml:space="preserve">ACM Trans. Graph.</t>
  </si>
  <si>
    <t xml:space="preserve">A014</t>
  </si>
  <si>
    <t xml:space="preserve">Islands/Seom: the creating of extended existence through AR and world simulation</t>
  </si>
  <si>
    <t xml:space="preserve">Yen, Shih-lien</t>
  </si>
  <si>
    <t xml:space="preserve">SIGGRAPH Asia 2018 Virtual &amp; Augmented Reality</t>
  </si>
  <si>
    <t xml:space="preserve">A015</t>
  </si>
  <si>
    <t xml:space="preserve">Barde, Paul</t>
  </si>
  <si>
    <t xml:space="preserve">Proceedings of the 23rd International Conference on Autonomous Agents and Multiagent Systems</t>
  </si>
  <si>
    <t xml:space="preserve">A016</t>
  </si>
  <si>
    <t xml:space="preserve">Wang, Qizhou</t>
  </si>
  <si>
    <t xml:space="preserve">Proceedings of the 32nd ACM SIGKDD Conference on Knowledge Discovery and Data Mining V.2</t>
  </si>
  <si>
    <t xml:space="preserve">A017</t>
  </si>
  <si>
    <t xml:space="preserve">Pfau, Johannes</t>
  </si>
  <si>
    <t xml:space="preserve">Proceedings of the 2024 CHI Conference on Human Factors in Computing Systems</t>
  </si>
  <si>
    <t xml:space="preserve">A018</t>
  </si>
  <si>
    <t xml:space="preserve">3DGS in Web Gaming: The Shadow of the Czar</t>
  </si>
  <si>
    <t xml:space="preserve">Kane, James Clifford</t>
  </si>
  <si>
    <t xml:space="preserve">Proceedings of the Special Interest Group on Computer Graphics and Interactive Techniques Conference Spatial Storytelling</t>
  </si>
  <si>
    <t xml:space="preserve">10.1145/3799822.3812457</t>
  </si>
  <si>
    <t xml:space="preserve">A019</t>
  </si>
  <si>
    <t xml:space="preserve">Menapace, Willi</t>
  </si>
  <si>
    <t xml:space="preserve">A020</t>
  </si>
  <si>
    <t xml:space="preserve">Lin, Hongyang</t>
  </si>
  <si>
    <t xml:space="preserve">Proceedings of the 33rd ACM International Conference on Multimedia</t>
  </si>
  <si>
    <t xml:space="preserve">A021</t>
  </si>
  <si>
    <t xml:space="preserve">Integrating Large Language Models with Reinforcement Learning for Generalization in Strategic Card Games</t>
  </si>
  <si>
    <t xml:space="preserve">Xia, Wannian</t>
  </si>
  <si>
    <t xml:space="preserve">Proceedings of the 24th International Conference on Autonomous Agents and Multiagent Systems</t>
  </si>
  <si>
    <t xml:space="preserve">A022</t>
  </si>
  <si>
    <t xml:space="preserve">Learning regularized graphon mean-field games with unknown graphons</t>
  </si>
  <si>
    <t xml:space="preserve">Zhang, Fengzhuo</t>
  </si>
  <si>
    <t xml:space="preserve">J. Mach. Learn. Res.</t>
  </si>
  <si>
    <t xml:space="preserve">A023</t>
  </si>
  <si>
    <t xml:space="preserve">Calinescu, Radu</t>
  </si>
  <si>
    <t xml:space="preserve">Proceedings of the 2026 IEEE/ACM 48th International Conference on Software Engineering</t>
  </si>
  <si>
    <t xml:space="preserve">A024</t>
  </si>
  <si>
    <t xml:space="preserve">Yokosaka, Takumi</t>
  </si>
  <si>
    <t xml:space="preserve">Companion Proceedings of the Annual Symposium on Computer-Human Interaction in Play</t>
  </si>
  <si>
    <t xml:space="preserve">A025</t>
  </si>
  <si>
    <t xml:space="preserve">Alon, Nitay</t>
  </si>
  <si>
    <t xml:space="preserve">J. Artif. Int. Res.</t>
  </si>
  <si>
    <t xml:space="preserve">A026</t>
  </si>
  <si>
    <t xml:space="preserve">Ding, Zhihao</t>
  </si>
  <si>
    <t xml:space="preserve">Proceedings of the 33rd ACM International Conference on Information and Knowledge Management</t>
  </si>
  <si>
    <t xml:space="preserve">A027</t>
  </si>
  <si>
    <t xml:space="preserve">Zhang, Kaiqing</t>
  </si>
  <si>
    <t xml:space="preserve">A028</t>
  </si>
  <si>
    <t xml:space="preserve">Bonomi, Andrea</t>
  </si>
  <si>
    <t xml:space="preserve">Proceedings of the Companion Conference on Genetic and Evolutionary Computation</t>
  </si>
  <si>
    <t xml:space="preserve">A029</t>
  </si>
  <si>
    <t xml:space="preserve">Lightning Talk: Trinity - Assured Neuro-Symbolic Model Inspired by Hierarchical Predictive Coding</t>
  </si>
  <si>
    <t xml:space="preserve">Jha, Susmit</t>
  </si>
  <si>
    <t xml:space="preserve">Proceedings of the 60th Annual ACM/IEEE Design Automation Conference</t>
  </si>
  <si>
    <t xml:space="preserve">A030</t>
  </si>
  <si>
    <t xml:space="preserve">Garces, Daniel</t>
  </si>
  <si>
    <t xml:space="preserve">A031</t>
  </si>
  <si>
    <t xml:space="preserve">Han, Dongge</t>
  </si>
  <si>
    <t xml:space="preserve">Proceedings of the 21st International Conference on Autonomous Agents and Multiagent Systems</t>
  </si>
  <si>
    <t xml:space="preserve">A032</t>
  </si>
  <si>
    <t xml:space="preserve">Jointly-Learned State-Action Embedding for Efficient Reinforcement Learning</t>
  </si>
  <si>
    <t xml:space="preserve">Pritz, Paul J.</t>
  </si>
  <si>
    <t xml:space="preserve">Proceedings of the 30th ACM International Conference on Information &amp; Knowledge Management</t>
  </si>
  <si>
    <t xml:space="preserve">10.1145/3459637.3482357</t>
  </si>
  <si>
    <t xml:space="preserve">A033</t>
  </si>
  <si>
    <t xml:space="preserve">Building Machines that Learn and Think Like People</t>
  </si>
  <si>
    <t xml:space="preserve">Tenenbaum, Josh</t>
  </si>
  <si>
    <t xml:space="preserve">Proceedings of the 17th International Conference on Autonomous Agents and MultiAgent Systems</t>
  </si>
  <si>
    <t xml:space="preserve">A034</t>
  </si>
  <si>
    <t xml:space="preserve">A Game Theoretic Model for the Formation of Navigable Small-World Networks—The Tradeoff between Distance and Reciprocity</t>
  </si>
  <si>
    <t xml:space="preserve">Yang, Zhi</t>
  </si>
  <si>
    <t xml:space="preserve">ACM Trans. Internet Technol.</t>
  </si>
  <si>
    <t xml:space="preserve">A035</t>
  </si>
  <si>
    <t xml:space="preserve">VRBox: A Virtual Reality Augmented Sandbox for Immersive Playfulness, Creativity and Exploration</t>
  </si>
  <si>
    <t xml:space="preserve">Fröhlich, Thomas</t>
  </si>
  <si>
    <t xml:space="preserve">Proceedings of the 2018 Annual Symposium on Computer-Human Interaction in Play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</si>
</sst>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4F6F"/>
        <bgColor rgb="FF1F3A5F"/>
      </patternFill>
    </fill>
    <fill>
      <patternFill patternType="solid">
        <fgColor rgb="FFE7EEF5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F4F6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EDEDED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E7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2F4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4"/>
  </cols>
  <sheetData>
    <row r="1" customFormat="false" ht="16.15" hidden="false" customHeight="false" outlineLevel="0" collapsed="false">
      <c r="A1" s="1" t="s">
        <v>0</v>
      </c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6" t="n">
        <f aca="false">COUNTIF('All records'!$B$2:$B$834,"Scopus")</f>
        <v>491</v>
      </c>
    </row>
    <row r="7" customFormat="false" ht="15" hidden="false" customHeight="false" outlineLevel="0" collapsed="false">
      <c r="A7" s="5" t="s">
        <v>6</v>
      </c>
      <c r="B7" s="6" t="n">
        <f aca="false">COUNTIF('All records'!$B$2:$B$834,"IEEE Xplore")</f>
        <v>307</v>
      </c>
    </row>
    <row r="8" customFormat="false" ht="15" hidden="false" customHeight="false" outlineLevel="0" collapsed="false">
      <c r="A8" s="5" t="s">
        <v>7</v>
      </c>
      <c r="B8" s="6" t="n">
        <f aca="false">COUNTIF('All records'!$B$2:$B$834,"ACM DL")</f>
        <v>35</v>
      </c>
    </row>
    <row r="9" customFormat="false" ht="15" hidden="false" customHeight="false" outlineLevel="0" collapsed="false">
      <c r="A9" s="7" t="s">
        <v>8</v>
      </c>
      <c r="B9" s="8" t="n">
        <f aca="false">SUM(B6:B8)</f>
        <v>833</v>
      </c>
    </row>
    <row r="10" customFormat="false" ht="23.85" hidden="false" customHeight="false" outlineLevel="0" collapsed="false">
      <c r="A10" s="5" t="s">
        <v>9</v>
      </c>
      <c r="B10" s="6" t="n">
        <f aca="false">COUNTIF('All records'!$C$2:$C$834,"Ineligible type")</f>
        <v>25</v>
      </c>
    </row>
    <row r="11" customFormat="false" ht="15" hidden="false" customHeight="false" outlineLevel="0" collapsed="false">
      <c r="A11" s="5" t="s">
        <v>10</v>
      </c>
      <c r="B11" s="6" t="n">
        <f aca="false">COUNTIF('All records'!$C$2:$C$834,"Duplicate")</f>
        <v>146</v>
      </c>
    </row>
    <row r="12" customFormat="false" ht="15" hidden="false" customHeight="false" outlineLevel="0" collapsed="false">
      <c r="A12" s="7" t="s">
        <v>11</v>
      </c>
      <c r="B12" s="8" t="n">
        <f aca="false">COUNTIF('All records'!$C$2:$C$834,"Kept")</f>
        <v>662</v>
      </c>
    </row>
    <row r="13" customFormat="false" ht="15" hidden="false" customHeight="false" outlineLevel="0" collapsed="false">
      <c r="A13" s="5" t="s">
        <v>12</v>
      </c>
      <c r="B13" s="6" t="str">
        <f aca="false">IF(B9-B10-B11=B12,"OK","Mismatch")</f>
        <v>OK</v>
      </c>
    </row>
    <row r="15" customFormat="false" ht="15" hidden="false" customHeight="false" outlineLevel="0" collapsed="false">
      <c r="A15" s="3" t="s">
        <v>13</v>
      </c>
    </row>
    <row r="16" customFormat="false" ht="15" hidden="false" customHeight="false" outlineLevel="0" collapsed="false">
      <c r="A16" s="4" t="s">
        <v>14</v>
      </c>
      <c r="B16" s="4" t="s">
        <v>4</v>
      </c>
    </row>
    <row r="17" customFormat="false" ht="15" hidden="false" customHeight="false" outlineLevel="0" collapsed="false">
      <c r="A17" s="5" t="s">
        <v>15</v>
      </c>
      <c r="B17" s="6" t="n">
        <f aca="false">COUNTIFS('All records'!$C$2:$C$834,"Duplicate",'All records'!$E$2:$E$834,"same DOI")</f>
        <v>137</v>
      </c>
    </row>
    <row r="18" customFormat="false" ht="15" hidden="false" customHeight="false" outlineLevel="0" collapsed="false">
      <c r="A18" s="5" t="s">
        <v>16</v>
      </c>
      <c r="B18" s="6" t="n">
        <f aca="false">COUNTIFS('All records'!$C$2:$C$834,"Duplicate",'All records'!$E$2:$E$834,"same title*")</f>
        <v>9</v>
      </c>
    </row>
    <row r="19" customFormat="false" ht="15" hidden="false" customHeight="false" outlineLevel="0" collapsed="false">
      <c r="A19" s="7" t="s">
        <v>17</v>
      </c>
      <c r="B19" s="8" t="n">
        <f aca="false">B17+B18</f>
        <v>146</v>
      </c>
    </row>
    <row r="21" customFormat="false" ht="15" hidden="false" customHeight="false" outlineLevel="0" collapsed="false">
      <c r="A21" s="3" t="s">
        <v>18</v>
      </c>
    </row>
    <row r="22" customFormat="false" ht="15" hidden="false" customHeight="false" outlineLevel="0" collapsed="false">
      <c r="A22" s="4" t="s">
        <v>19</v>
      </c>
      <c r="B22" s="4" t="s">
        <v>4</v>
      </c>
    </row>
    <row r="23" customFormat="false" ht="15" hidden="false" customHeight="false" outlineLevel="0" collapsed="false">
      <c r="A23" s="5" t="s">
        <v>20</v>
      </c>
      <c r="B23" s="6" t="n">
        <f aca="false">COUNTIFS('All records'!$C$2:$C$834,"Kept",'All records'!$F$2:$F$834,"Scopus")</f>
        <v>346</v>
      </c>
    </row>
    <row r="24" customFormat="false" ht="15" hidden="false" customHeight="false" outlineLevel="0" collapsed="false">
      <c r="A24" s="5" t="s">
        <v>21</v>
      </c>
      <c r="B24" s="6" t="n">
        <f aca="false">COUNTIFS('All records'!$C$2:$C$834,"Kept",'All records'!$F$2:$F$834,"IEEE Xplore")</f>
        <v>168</v>
      </c>
    </row>
    <row r="25" customFormat="false" ht="15" hidden="false" customHeight="false" outlineLevel="0" collapsed="false">
      <c r="A25" s="5" t="s">
        <v>22</v>
      </c>
      <c r="B25" s="6" t="n">
        <f aca="false">COUNTIFS('All records'!$C$2:$C$834,"Kept",'All records'!$F$2:$F$834,"ACM DL")</f>
        <v>6</v>
      </c>
    </row>
    <row r="26" customFormat="false" ht="15" hidden="false" customHeight="false" outlineLevel="0" collapsed="false">
      <c r="A26" s="5" t="s">
        <v>23</v>
      </c>
      <c r="B26" s="6" t="n">
        <f aca="false">COUNTIFS('All records'!$C$2:$C$834,"Kept",'All records'!$F$2:$F$834,"Scopus; IEEE Xplore")</f>
        <v>113</v>
      </c>
    </row>
    <row r="27" customFormat="false" ht="15" hidden="false" customHeight="false" outlineLevel="0" collapsed="false">
      <c r="A27" s="5" t="s">
        <v>24</v>
      </c>
      <c r="B27" s="6" t="n">
        <f aca="false">COUNTIFS('All records'!$C$2:$C$834,"Kept",'All records'!$F$2:$F$834,"Scopus; ACM DL")</f>
        <v>28</v>
      </c>
    </row>
    <row r="28" customFormat="false" ht="15" hidden="false" customHeight="false" outlineLevel="0" collapsed="false">
      <c r="A28" s="5" t="s">
        <v>25</v>
      </c>
      <c r="B28" s="6" t="n">
        <f aca="false">COUNTIFS('All records'!$C$2:$C$834,"Kept",'All records'!$F$2:$F$834,"IEEE Xplore; ACM DL")</f>
        <v>0</v>
      </c>
    </row>
    <row r="29" customFormat="false" ht="15" hidden="false" customHeight="false" outlineLevel="0" collapsed="false">
      <c r="A29" s="5" t="s">
        <v>26</v>
      </c>
      <c r="B29" s="6" t="n">
        <f aca="false">COUNTIFS('All records'!$C$2:$C$834,"Kept",'All records'!$F$2:$F$834,"Scopus; IEEE Xplore; ACM DL")</f>
        <v>1</v>
      </c>
    </row>
    <row r="30" customFormat="false" ht="15" hidden="false" customHeight="false" outlineLevel="0" collapsed="false">
      <c r="A30" s="7" t="s">
        <v>27</v>
      </c>
      <c r="B30" s="8" t="n">
        <f aca="false">SUM(B23:B29)</f>
        <v>662</v>
      </c>
    </row>
    <row r="32" customFormat="false" ht="15" hidden="false" customHeight="false" outlineLevel="0" collapsed="false">
      <c r="A32" s="3" t="s">
        <v>28</v>
      </c>
    </row>
    <row r="33" customFormat="false" ht="39.75" hidden="false" customHeight="true" outlineLevel="0" collapsed="false">
      <c r="A33" s="9" t="s">
        <v>29</v>
      </c>
      <c r="B33" s="9"/>
      <c r="C33" s="9"/>
      <c r="D33" s="9"/>
      <c r="E33" s="9"/>
    </row>
    <row r="34" customFormat="false" ht="39.75" hidden="false" customHeight="true" outlineLevel="0" collapsed="false">
      <c r="A34" s="9" t="s">
        <v>30</v>
      </c>
      <c r="B34" s="9"/>
      <c r="C34" s="9"/>
      <c r="D34" s="9"/>
      <c r="E34" s="9"/>
    </row>
    <row r="35" customFormat="false" ht="39.75" hidden="false" customHeight="true" outlineLevel="0" collapsed="false">
      <c r="A35" s="9" t="s">
        <v>31</v>
      </c>
      <c r="B35" s="9"/>
      <c r="C35" s="9"/>
      <c r="D35" s="9"/>
      <c r="E35" s="9"/>
    </row>
    <row r="36" customFormat="false" ht="39.75" hidden="false" customHeight="true" outlineLevel="0" collapsed="false">
      <c r="A36" s="9" t="s">
        <v>32</v>
      </c>
      <c r="B36" s="9"/>
      <c r="C36" s="9"/>
      <c r="D36" s="9"/>
      <c r="E36" s="9"/>
    </row>
  </sheetData>
  <mergeCells count="5">
    <mergeCell ref="A2:E2"/>
    <mergeCell ref="A33:E33"/>
    <mergeCell ref="A34:E34"/>
    <mergeCell ref="A35:E35"/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70"/>
    <col collapsed="false" customWidth="true" hidden="false" outlineLevel="0" max="8" min="8" style="0" width="7"/>
    <col collapsed="false" customWidth="true" hidden="false" outlineLevel="0" max="9" min="9" style="0" width="22"/>
    <col collapsed="false" customWidth="true" hidden="false" outlineLevel="0" max="10" min="10" style="0" width="40"/>
    <col collapsed="false" customWidth="true" hidden="false" outlineLevel="0" max="11" min="11" style="0" width="18"/>
    <col collapsed="false" customWidth="true" hidden="false" outlineLevel="0" max="12" min="12" style="0" width="30"/>
  </cols>
  <sheetData>
    <row r="1" customFormat="false" ht="15" hidden="false" customHeight="fals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14</v>
      </c>
      <c r="F1" s="4" t="s">
        <v>19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</row>
    <row r="2" customFormat="false" ht="35.05" hidden="false" customHeight="false" outlineLevel="0" collapsed="false">
      <c r="A2" s="10" t="s">
        <v>43</v>
      </c>
      <c r="B2" s="10" t="s">
        <v>44</v>
      </c>
      <c r="C2" s="10" t="s">
        <v>45</v>
      </c>
      <c r="D2" s="10"/>
      <c r="E2" s="10"/>
      <c r="F2" s="10" t="s">
        <v>44</v>
      </c>
      <c r="G2" s="11" t="s">
        <v>46</v>
      </c>
      <c r="H2" s="10" t="n">
        <v>2020</v>
      </c>
      <c r="I2" s="10" t="s">
        <v>47</v>
      </c>
      <c r="J2" s="11" t="s">
        <v>48</v>
      </c>
      <c r="K2" s="10" t="s">
        <v>49</v>
      </c>
      <c r="L2" s="10" t="s">
        <v>50</v>
      </c>
    </row>
    <row r="3" customFormat="false" ht="23.85" hidden="false" customHeight="false" outlineLevel="0" collapsed="false">
      <c r="A3" s="10" t="s">
        <v>51</v>
      </c>
      <c r="B3" s="10" t="s">
        <v>44</v>
      </c>
      <c r="C3" s="10" t="s">
        <v>45</v>
      </c>
      <c r="D3" s="10"/>
      <c r="E3" s="10"/>
      <c r="F3" s="10" t="s">
        <v>52</v>
      </c>
      <c r="G3" s="11" t="s">
        <v>53</v>
      </c>
      <c r="H3" s="10" t="n">
        <v>2022</v>
      </c>
      <c r="I3" s="10" t="s">
        <v>54</v>
      </c>
      <c r="J3" s="11" t="s">
        <v>55</v>
      </c>
      <c r="K3" s="10" t="s">
        <v>49</v>
      </c>
      <c r="L3" s="10" t="s">
        <v>56</v>
      </c>
    </row>
    <row r="4" customFormat="false" ht="23.85" hidden="false" customHeight="false" outlineLevel="0" collapsed="false">
      <c r="A4" s="10" t="s">
        <v>57</v>
      </c>
      <c r="B4" s="10" t="s">
        <v>44</v>
      </c>
      <c r="C4" s="10" t="s">
        <v>45</v>
      </c>
      <c r="D4" s="10"/>
      <c r="E4" s="10"/>
      <c r="F4" s="10" t="s">
        <v>52</v>
      </c>
      <c r="G4" s="11" t="s">
        <v>58</v>
      </c>
      <c r="H4" s="10" t="n">
        <v>2025</v>
      </c>
      <c r="I4" s="10" t="s">
        <v>59</v>
      </c>
      <c r="J4" s="11" t="s">
        <v>60</v>
      </c>
      <c r="K4" s="10" t="s">
        <v>61</v>
      </c>
      <c r="L4" s="10" t="s">
        <v>62</v>
      </c>
    </row>
    <row r="5" customFormat="false" ht="15" hidden="false" customHeight="false" outlineLevel="0" collapsed="false">
      <c r="A5" s="10" t="s">
        <v>63</v>
      </c>
      <c r="B5" s="10" t="s">
        <v>44</v>
      </c>
      <c r="C5" s="10" t="s">
        <v>45</v>
      </c>
      <c r="D5" s="10"/>
      <c r="E5" s="10"/>
      <c r="F5" s="10" t="s">
        <v>44</v>
      </c>
      <c r="G5" s="11" t="s">
        <v>64</v>
      </c>
      <c r="H5" s="10" t="n">
        <v>2025</v>
      </c>
      <c r="I5" s="10" t="s">
        <v>65</v>
      </c>
      <c r="J5" s="11" t="s">
        <v>66</v>
      </c>
      <c r="K5" s="10" t="s">
        <v>49</v>
      </c>
      <c r="L5" s="10"/>
    </row>
    <row r="6" customFormat="false" ht="23.85" hidden="false" customHeight="false" outlineLevel="0" collapsed="false">
      <c r="A6" s="10" t="s">
        <v>67</v>
      </c>
      <c r="B6" s="10" t="s">
        <v>44</v>
      </c>
      <c r="C6" s="10" t="s">
        <v>45</v>
      </c>
      <c r="D6" s="10"/>
      <c r="E6" s="10"/>
      <c r="F6" s="10" t="s">
        <v>44</v>
      </c>
      <c r="G6" s="11" t="s">
        <v>68</v>
      </c>
      <c r="H6" s="10" t="n">
        <v>2025</v>
      </c>
      <c r="I6" s="10" t="s">
        <v>69</v>
      </c>
      <c r="J6" s="11" t="s">
        <v>70</v>
      </c>
      <c r="K6" s="10" t="s">
        <v>49</v>
      </c>
      <c r="L6" s="10"/>
    </row>
    <row r="7" customFormat="false" ht="35.05" hidden="false" customHeight="false" outlineLevel="0" collapsed="false">
      <c r="A7" s="10" t="s">
        <v>71</v>
      </c>
      <c r="B7" s="10" t="s">
        <v>44</v>
      </c>
      <c r="C7" s="10" t="s">
        <v>45</v>
      </c>
      <c r="D7" s="10"/>
      <c r="E7" s="10"/>
      <c r="F7" s="10" t="s">
        <v>44</v>
      </c>
      <c r="G7" s="11" t="s">
        <v>72</v>
      </c>
      <c r="H7" s="10" t="n">
        <v>2022</v>
      </c>
      <c r="I7" s="10" t="s">
        <v>73</v>
      </c>
      <c r="J7" s="11" t="s">
        <v>74</v>
      </c>
      <c r="K7" s="10" t="s">
        <v>49</v>
      </c>
      <c r="L7" s="10" t="s">
        <v>75</v>
      </c>
    </row>
    <row r="8" customFormat="false" ht="15" hidden="false" customHeight="false" outlineLevel="0" collapsed="false">
      <c r="A8" s="10" t="s">
        <v>76</v>
      </c>
      <c r="B8" s="10" t="s">
        <v>44</v>
      </c>
      <c r="C8" s="10" t="s">
        <v>45</v>
      </c>
      <c r="D8" s="10"/>
      <c r="E8" s="10"/>
      <c r="F8" s="10" t="s">
        <v>44</v>
      </c>
      <c r="G8" s="11" t="s">
        <v>77</v>
      </c>
      <c r="H8" s="10" t="n">
        <v>2024</v>
      </c>
      <c r="I8" s="10" t="s">
        <v>78</v>
      </c>
      <c r="J8" s="11" t="s">
        <v>66</v>
      </c>
      <c r="K8" s="10" t="s">
        <v>49</v>
      </c>
      <c r="L8" s="10"/>
    </row>
    <row r="9" customFormat="false" ht="23.85" hidden="false" customHeight="false" outlineLevel="0" collapsed="false">
      <c r="A9" s="10" t="s">
        <v>79</v>
      </c>
      <c r="B9" s="10" t="s">
        <v>44</v>
      </c>
      <c r="C9" s="10" t="s">
        <v>45</v>
      </c>
      <c r="D9" s="10"/>
      <c r="E9" s="10"/>
      <c r="F9" s="10" t="s">
        <v>52</v>
      </c>
      <c r="G9" s="11" t="s">
        <v>80</v>
      </c>
      <c r="H9" s="10" t="n">
        <v>2022</v>
      </c>
      <c r="I9" s="10" t="s">
        <v>81</v>
      </c>
      <c r="J9" s="11" t="s">
        <v>82</v>
      </c>
      <c r="K9" s="10" t="s">
        <v>49</v>
      </c>
      <c r="L9" s="10" t="s">
        <v>83</v>
      </c>
    </row>
    <row r="10" customFormat="false" ht="23.85" hidden="false" customHeight="false" outlineLevel="0" collapsed="false">
      <c r="A10" s="10" t="s">
        <v>84</v>
      </c>
      <c r="B10" s="10" t="s">
        <v>44</v>
      </c>
      <c r="C10" s="10" t="s">
        <v>45</v>
      </c>
      <c r="D10" s="10"/>
      <c r="E10" s="10"/>
      <c r="F10" s="10" t="s">
        <v>44</v>
      </c>
      <c r="G10" s="11" t="s">
        <v>85</v>
      </c>
      <c r="H10" s="10" t="n">
        <v>2025</v>
      </c>
      <c r="I10" s="10" t="s">
        <v>86</v>
      </c>
      <c r="J10" s="11" t="s">
        <v>87</v>
      </c>
      <c r="K10" s="10" t="s">
        <v>49</v>
      </c>
      <c r="L10" s="10"/>
    </row>
    <row r="11" customFormat="false" ht="35.05" hidden="false" customHeight="false" outlineLevel="0" collapsed="false">
      <c r="A11" s="10" t="s">
        <v>88</v>
      </c>
      <c r="B11" s="10" t="s">
        <v>44</v>
      </c>
      <c r="C11" s="10" t="s">
        <v>45</v>
      </c>
      <c r="D11" s="10"/>
      <c r="E11" s="10"/>
      <c r="F11" s="10" t="s">
        <v>44</v>
      </c>
      <c r="G11" s="11" t="s">
        <v>89</v>
      </c>
      <c r="H11" s="10" t="n">
        <v>2023</v>
      </c>
      <c r="I11" s="10" t="s">
        <v>90</v>
      </c>
      <c r="J11" s="11" t="s">
        <v>91</v>
      </c>
      <c r="K11" s="10" t="s">
        <v>49</v>
      </c>
      <c r="L11" s="10" t="s">
        <v>92</v>
      </c>
    </row>
    <row r="12" customFormat="false" ht="23.85" hidden="false" customHeight="false" outlineLevel="0" collapsed="false">
      <c r="A12" s="10" t="s">
        <v>93</v>
      </c>
      <c r="B12" s="10" t="s">
        <v>44</v>
      </c>
      <c r="C12" s="10" t="s">
        <v>45</v>
      </c>
      <c r="D12" s="10"/>
      <c r="E12" s="10"/>
      <c r="F12" s="10" t="s">
        <v>44</v>
      </c>
      <c r="G12" s="11" t="s">
        <v>94</v>
      </c>
      <c r="H12" s="10" t="n">
        <v>2025</v>
      </c>
      <c r="I12" s="10" t="s">
        <v>95</v>
      </c>
      <c r="J12" s="11" t="s">
        <v>66</v>
      </c>
      <c r="K12" s="10" t="s">
        <v>49</v>
      </c>
      <c r="L12" s="10"/>
    </row>
    <row r="13" customFormat="false" ht="23.85" hidden="false" customHeight="false" outlineLevel="0" collapsed="false">
      <c r="A13" s="10" t="s">
        <v>96</v>
      </c>
      <c r="B13" s="10" t="s">
        <v>44</v>
      </c>
      <c r="C13" s="10" t="s">
        <v>45</v>
      </c>
      <c r="D13" s="10"/>
      <c r="E13" s="10"/>
      <c r="F13" s="10" t="s">
        <v>52</v>
      </c>
      <c r="G13" s="11" t="s">
        <v>97</v>
      </c>
      <c r="H13" s="10" t="n">
        <v>2024</v>
      </c>
      <c r="I13" s="10" t="s">
        <v>98</v>
      </c>
      <c r="J13" s="11" t="s">
        <v>99</v>
      </c>
      <c r="K13" s="10" t="s">
        <v>49</v>
      </c>
      <c r="L13" s="10" t="s">
        <v>100</v>
      </c>
    </row>
    <row r="14" customFormat="false" ht="23.85" hidden="false" customHeight="false" outlineLevel="0" collapsed="false">
      <c r="A14" s="10" t="s">
        <v>101</v>
      </c>
      <c r="B14" s="10" t="s">
        <v>44</v>
      </c>
      <c r="C14" s="10" t="s">
        <v>45</v>
      </c>
      <c r="D14" s="10"/>
      <c r="E14" s="10"/>
      <c r="F14" s="10" t="s">
        <v>52</v>
      </c>
      <c r="G14" s="11" t="s">
        <v>102</v>
      </c>
      <c r="H14" s="10" t="n">
        <v>2023</v>
      </c>
      <c r="I14" s="10" t="s">
        <v>103</v>
      </c>
      <c r="J14" s="11" t="s">
        <v>104</v>
      </c>
      <c r="K14" s="10" t="s">
        <v>49</v>
      </c>
      <c r="L14" s="10" t="s">
        <v>105</v>
      </c>
    </row>
    <row r="15" customFormat="false" ht="35.05" hidden="false" customHeight="false" outlineLevel="0" collapsed="false">
      <c r="A15" s="10" t="s">
        <v>106</v>
      </c>
      <c r="B15" s="10" t="s">
        <v>44</v>
      </c>
      <c r="C15" s="10" t="s">
        <v>45</v>
      </c>
      <c r="D15" s="10"/>
      <c r="E15" s="10"/>
      <c r="F15" s="10" t="s">
        <v>44</v>
      </c>
      <c r="G15" s="11" t="s">
        <v>107</v>
      </c>
      <c r="H15" s="10" t="n">
        <v>2018</v>
      </c>
      <c r="I15" s="10" t="s">
        <v>108</v>
      </c>
      <c r="J15" s="11" t="s">
        <v>109</v>
      </c>
      <c r="K15" s="10" t="s">
        <v>49</v>
      </c>
      <c r="L15" s="10" t="s">
        <v>110</v>
      </c>
    </row>
    <row r="16" customFormat="false" ht="35.05" hidden="false" customHeight="false" outlineLevel="0" collapsed="false">
      <c r="A16" s="10" t="s">
        <v>111</v>
      </c>
      <c r="B16" s="10" t="s">
        <v>44</v>
      </c>
      <c r="C16" s="10" t="s">
        <v>45</v>
      </c>
      <c r="D16" s="10"/>
      <c r="E16" s="10"/>
      <c r="F16" s="10" t="s">
        <v>44</v>
      </c>
      <c r="G16" s="11" t="s">
        <v>112</v>
      </c>
      <c r="H16" s="10" t="n">
        <v>2020</v>
      </c>
      <c r="I16" s="10" t="s">
        <v>113</v>
      </c>
      <c r="J16" s="11" t="s">
        <v>48</v>
      </c>
      <c r="K16" s="10" t="s">
        <v>49</v>
      </c>
      <c r="L16" s="10" t="s">
        <v>114</v>
      </c>
    </row>
    <row r="17" customFormat="false" ht="23.85" hidden="false" customHeight="false" outlineLevel="0" collapsed="false">
      <c r="A17" s="10" t="s">
        <v>115</v>
      </c>
      <c r="B17" s="10" t="s">
        <v>44</v>
      </c>
      <c r="C17" s="10" t="s">
        <v>45</v>
      </c>
      <c r="D17" s="10"/>
      <c r="E17" s="10"/>
      <c r="F17" s="10" t="s">
        <v>52</v>
      </c>
      <c r="G17" s="11" t="s">
        <v>116</v>
      </c>
      <c r="H17" s="10" t="n">
        <v>2024</v>
      </c>
      <c r="I17" s="10" t="s">
        <v>117</v>
      </c>
      <c r="J17" s="11" t="s">
        <v>55</v>
      </c>
      <c r="K17" s="10" t="s">
        <v>49</v>
      </c>
      <c r="L17" s="10" t="s">
        <v>118</v>
      </c>
    </row>
    <row r="18" customFormat="false" ht="23.85" hidden="false" customHeight="false" outlineLevel="0" collapsed="false">
      <c r="A18" s="10" t="s">
        <v>119</v>
      </c>
      <c r="B18" s="10" t="s">
        <v>44</v>
      </c>
      <c r="C18" s="10" t="s">
        <v>45</v>
      </c>
      <c r="D18" s="10"/>
      <c r="E18" s="10"/>
      <c r="F18" s="10" t="s">
        <v>44</v>
      </c>
      <c r="G18" s="11" t="s">
        <v>120</v>
      </c>
      <c r="H18" s="10" t="n">
        <v>2026</v>
      </c>
      <c r="I18" s="10" t="s">
        <v>121</v>
      </c>
      <c r="J18" s="11" t="s">
        <v>122</v>
      </c>
      <c r="K18" s="10" t="s">
        <v>61</v>
      </c>
      <c r="L18" s="10" t="s">
        <v>123</v>
      </c>
    </row>
    <row r="19" customFormat="false" ht="23.85" hidden="false" customHeight="false" outlineLevel="0" collapsed="false">
      <c r="A19" s="10" t="s">
        <v>124</v>
      </c>
      <c r="B19" s="10" t="s">
        <v>44</v>
      </c>
      <c r="C19" s="10" t="s">
        <v>45</v>
      </c>
      <c r="D19" s="10"/>
      <c r="E19" s="10"/>
      <c r="F19" s="10" t="s">
        <v>44</v>
      </c>
      <c r="G19" s="11" t="s">
        <v>125</v>
      </c>
      <c r="H19" s="10" t="n">
        <v>2020</v>
      </c>
      <c r="I19" s="10" t="s">
        <v>126</v>
      </c>
      <c r="J19" s="11" t="s">
        <v>127</v>
      </c>
      <c r="K19" s="10" t="s">
        <v>61</v>
      </c>
      <c r="L19" s="10" t="s">
        <v>128</v>
      </c>
    </row>
    <row r="20" customFormat="false" ht="35.05" hidden="false" customHeight="false" outlineLevel="0" collapsed="false">
      <c r="A20" s="10" t="s">
        <v>129</v>
      </c>
      <c r="B20" s="10" t="s">
        <v>44</v>
      </c>
      <c r="C20" s="10" t="s">
        <v>45</v>
      </c>
      <c r="D20" s="10"/>
      <c r="E20" s="10"/>
      <c r="F20" s="10" t="s">
        <v>52</v>
      </c>
      <c r="G20" s="11" t="s">
        <v>130</v>
      </c>
      <c r="H20" s="10" t="n">
        <v>2023</v>
      </c>
      <c r="I20" s="10" t="s">
        <v>131</v>
      </c>
      <c r="J20" s="11" t="s">
        <v>132</v>
      </c>
      <c r="K20" s="10" t="s">
        <v>49</v>
      </c>
      <c r="L20" s="10" t="s">
        <v>133</v>
      </c>
    </row>
    <row r="21" customFormat="false" ht="15" hidden="false" customHeight="false" outlineLevel="0" collapsed="false">
      <c r="A21" s="10" t="s">
        <v>134</v>
      </c>
      <c r="B21" s="10" t="s">
        <v>44</v>
      </c>
      <c r="C21" s="10" t="s">
        <v>45</v>
      </c>
      <c r="D21" s="10"/>
      <c r="E21" s="10"/>
      <c r="F21" s="10" t="s">
        <v>44</v>
      </c>
      <c r="G21" s="11" t="s">
        <v>135</v>
      </c>
      <c r="H21" s="10" t="n">
        <v>2025</v>
      </c>
      <c r="I21" s="10" t="s">
        <v>136</v>
      </c>
      <c r="J21" s="11" t="s">
        <v>66</v>
      </c>
      <c r="K21" s="10" t="s">
        <v>49</v>
      </c>
      <c r="L21" s="10"/>
    </row>
    <row r="22" customFormat="false" ht="23.85" hidden="false" customHeight="false" outlineLevel="0" collapsed="false">
      <c r="A22" s="10" t="s">
        <v>137</v>
      </c>
      <c r="B22" s="10" t="s">
        <v>44</v>
      </c>
      <c r="C22" s="10" t="s">
        <v>45</v>
      </c>
      <c r="D22" s="10"/>
      <c r="E22" s="10"/>
      <c r="F22" s="10" t="s">
        <v>52</v>
      </c>
      <c r="G22" s="11" t="s">
        <v>138</v>
      </c>
      <c r="H22" s="10" t="n">
        <v>2024</v>
      </c>
      <c r="I22" s="10" t="s">
        <v>139</v>
      </c>
      <c r="J22" s="11" t="s">
        <v>140</v>
      </c>
      <c r="K22" s="10" t="s">
        <v>49</v>
      </c>
      <c r="L22" s="10" t="s">
        <v>141</v>
      </c>
    </row>
    <row r="23" customFormat="false" ht="35.05" hidden="false" customHeight="false" outlineLevel="0" collapsed="false">
      <c r="A23" s="10" t="s">
        <v>142</v>
      </c>
      <c r="B23" s="10" t="s">
        <v>44</v>
      </c>
      <c r="C23" s="10" t="s">
        <v>45</v>
      </c>
      <c r="D23" s="10"/>
      <c r="E23" s="10"/>
      <c r="F23" s="10" t="s">
        <v>52</v>
      </c>
      <c r="G23" s="11" t="s">
        <v>143</v>
      </c>
      <c r="H23" s="10" t="n">
        <v>2021</v>
      </c>
      <c r="I23" s="10" t="s">
        <v>144</v>
      </c>
      <c r="J23" s="11" t="s">
        <v>145</v>
      </c>
      <c r="K23" s="10" t="s">
        <v>49</v>
      </c>
      <c r="L23" s="10" t="s">
        <v>146</v>
      </c>
    </row>
    <row r="24" customFormat="false" ht="35.05" hidden="false" customHeight="false" outlineLevel="0" collapsed="false">
      <c r="A24" s="10" t="s">
        <v>147</v>
      </c>
      <c r="B24" s="10" t="s">
        <v>44</v>
      </c>
      <c r="C24" s="10" t="s">
        <v>45</v>
      </c>
      <c r="D24" s="10"/>
      <c r="E24" s="10"/>
      <c r="F24" s="10" t="s">
        <v>52</v>
      </c>
      <c r="G24" s="11" t="s">
        <v>148</v>
      </c>
      <c r="H24" s="10" t="n">
        <v>2024</v>
      </c>
      <c r="I24" s="10" t="s">
        <v>149</v>
      </c>
      <c r="J24" s="11" t="s">
        <v>150</v>
      </c>
      <c r="K24" s="10" t="s">
        <v>49</v>
      </c>
      <c r="L24" s="10" t="s">
        <v>151</v>
      </c>
    </row>
    <row r="25" customFormat="false" ht="35.05" hidden="false" customHeight="false" outlineLevel="0" collapsed="false">
      <c r="A25" s="10" t="s">
        <v>152</v>
      </c>
      <c r="B25" s="10" t="s">
        <v>44</v>
      </c>
      <c r="C25" s="10" t="s">
        <v>45</v>
      </c>
      <c r="D25" s="10"/>
      <c r="E25" s="10"/>
      <c r="F25" s="10" t="s">
        <v>52</v>
      </c>
      <c r="G25" s="11" t="s">
        <v>153</v>
      </c>
      <c r="H25" s="10" t="n">
        <v>2024</v>
      </c>
      <c r="I25" s="10" t="s">
        <v>154</v>
      </c>
      <c r="J25" s="11" t="s">
        <v>155</v>
      </c>
      <c r="K25" s="10" t="s">
        <v>49</v>
      </c>
      <c r="L25" s="10" t="s">
        <v>156</v>
      </c>
    </row>
    <row r="26" customFormat="false" ht="23.85" hidden="false" customHeight="false" outlineLevel="0" collapsed="false">
      <c r="A26" s="10" t="s">
        <v>157</v>
      </c>
      <c r="B26" s="10" t="s">
        <v>44</v>
      </c>
      <c r="C26" s="10" t="s">
        <v>45</v>
      </c>
      <c r="D26" s="10"/>
      <c r="E26" s="10"/>
      <c r="F26" s="10" t="s">
        <v>44</v>
      </c>
      <c r="G26" s="11" t="s">
        <v>158</v>
      </c>
      <c r="H26" s="10" t="n">
        <v>2026</v>
      </c>
      <c r="I26" s="10" t="s">
        <v>159</v>
      </c>
      <c r="J26" s="11" t="s">
        <v>160</v>
      </c>
      <c r="K26" s="10" t="s">
        <v>61</v>
      </c>
      <c r="L26" s="10" t="s">
        <v>161</v>
      </c>
    </row>
    <row r="27" customFormat="false" ht="23.85" hidden="false" customHeight="false" outlineLevel="0" collapsed="false">
      <c r="A27" s="10" t="s">
        <v>162</v>
      </c>
      <c r="B27" s="10" t="s">
        <v>44</v>
      </c>
      <c r="C27" s="10" t="s">
        <v>45</v>
      </c>
      <c r="D27" s="10"/>
      <c r="E27" s="10"/>
      <c r="F27" s="10" t="s">
        <v>52</v>
      </c>
      <c r="G27" s="11" t="s">
        <v>163</v>
      </c>
      <c r="H27" s="10" t="n">
        <v>2025</v>
      </c>
      <c r="I27" s="10" t="s">
        <v>117</v>
      </c>
      <c r="J27" s="11" t="s">
        <v>82</v>
      </c>
      <c r="K27" s="10" t="s">
        <v>49</v>
      </c>
      <c r="L27" s="10" t="s">
        <v>164</v>
      </c>
    </row>
    <row r="28" customFormat="false" ht="35.05" hidden="false" customHeight="false" outlineLevel="0" collapsed="false">
      <c r="A28" s="10" t="s">
        <v>165</v>
      </c>
      <c r="B28" s="10" t="s">
        <v>44</v>
      </c>
      <c r="C28" s="10" t="s">
        <v>45</v>
      </c>
      <c r="D28" s="10"/>
      <c r="E28" s="10"/>
      <c r="F28" s="10" t="s">
        <v>44</v>
      </c>
      <c r="G28" s="11" t="s">
        <v>166</v>
      </c>
      <c r="H28" s="10" t="n">
        <v>2022</v>
      </c>
      <c r="I28" s="10" t="s">
        <v>167</v>
      </c>
      <c r="J28" s="11" t="s">
        <v>48</v>
      </c>
      <c r="K28" s="10" t="s">
        <v>49</v>
      </c>
      <c r="L28" s="10" t="s">
        <v>168</v>
      </c>
    </row>
    <row r="29" customFormat="false" ht="23.85" hidden="false" customHeight="false" outlineLevel="0" collapsed="false">
      <c r="A29" s="10" t="s">
        <v>169</v>
      </c>
      <c r="B29" s="10" t="s">
        <v>44</v>
      </c>
      <c r="C29" s="10" t="s">
        <v>45</v>
      </c>
      <c r="D29" s="10"/>
      <c r="E29" s="10"/>
      <c r="F29" s="10" t="s">
        <v>170</v>
      </c>
      <c r="G29" s="11" t="s">
        <v>171</v>
      </c>
      <c r="H29" s="10" t="n">
        <v>2023</v>
      </c>
      <c r="I29" s="10" t="s">
        <v>172</v>
      </c>
      <c r="J29" s="11" t="s">
        <v>173</v>
      </c>
      <c r="K29" s="10" t="s">
        <v>49</v>
      </c>
      <c r="L29" s="10" t="s">
        <v>174</v>
      </c>
    </row>
    <row r="30" customFormat="false" ht="15" hidden="false" customHeight="false" outlineLevel="0" collapsed="false">
      <c r="A30" s="10" t="s">
        <v>175</v>
      </c>
      <c r="B30" s="10" t="s">
        <v>44</v>
      </c>
      <c r="C30" s="10" t="s">
        <v>45</v>
      </c>
      <c r="D30" s="10"/>
      <c r="E30" s="10"/>
      <c r="F30" s="10" t="s">
        <v>170</v>
      </c>
      <c r="G30" s="11" t="s">
        <v>176</v>
      </c>
      <c r="H30" s="10" t="n">
        <v>2024</v>
      </c>
      <c r="I30" s="10" t="s">
        <v>177</v>
      </c>
      <c r="J30" s="11" t="s">
        <v>178</v>
      </c>
      <c r="K30" s="10" t="s">
        <v>61</v>
      </c>
      <c r="L30" s="10" t="s">
        <v>179</v>
      </c>
    </row>
    <row r="31" customFormat="false" ht="23.85" hidden="false" customHeight="false" outlineLevel="0" collapsed="false">
      <c r="A31" s="10" t="s">
        <v>180</v>
      </c>
      <c r="B31" s="10" t="s">
        <v>44</v>
      </c>
      <c r="C31" s="10" t="s">
        <v>45</v>
      </c>
      <c r="D31" s="10"/>
      <c r="E31" s="10"/>
      <c r="F31" s="10" t="s">
        <v>44</v>
      </c>
      <c r="G31" s="11" t="s">
        <v>181</v>
      </c>
      <c r="H31" s="10" t="n">
        <v>2018</v>
      </c>
      <c r="I31" s="10" t="s">
        <v>182</v>
      </c>
      <c r="J31" s="11" t="s">
        <v>183</v>
      </c>
      <c r="K31" s="10" t="s">
        <v>49</v>
      </c>
      <c r="L31" s="10"/>
    </row>
    <row r="32" customFormat="false" ht="23.85" hidden="false" customHeight="false" outlineLevel="0" collapsed="false">
      <c r="A32" s="10" t="s">
        <v>184</v>
      </c>
      <c r="B32" s="10" t="s">
        <v>44</v>
      </c>
      <c r="C32" s="10" t="s">
        <v>45</v>
      </c>
      <c r="D32" s="10"/>
      <c r="E32" s="10"/>
      <c r="F32" s="10" t="s">
        <v>44</v>
      </c>
      <c r="G32" s="11" t="s">
        <v>185</v>
      </c>
      <c r="H32" s="10" t="n">
        <v>2019</v>
      </c>
      <c r="I32" s="10" t="s">
        <v>186</v>
      </c>
      <c r="J32" s="11" t="s">
        <v>187</v>
      </c>
      <c r="K32" s="10" t="s">
        <v>61</v>
      </c>
      <c r="L32" s="10" t="s">
        <v>188</v>
      </c>
    </row>
    <row r="33" customFormat="false" ht="35.05" hidden="false" customHeight="false" outlineLevel="0" collapsed="false">
      <c r="A33" s="10" t="s">
        <v>189</v>
      </c>
      <c r="B33" s="10" t="s">
        <v>44</v>
      </c>
      <c r="C33" s="10" t="s">
        <v>45</v>
      </c>
      <c r="D33" s="10"/>
      <c r="E33" s="10"/>
      <c r="F33" s="10" t="s">
        <v>44</v>
      </c>
      <c r="G33" s="11" t="s">
        <v>190</v>
      </c>
      <c r="H33" s="10" t="n">
        <v>2026</v>
      </c>
      <c r="I33" s="10" t="s">
        <v>191</v>
      </c>
      <c r="J33" s="11" t="s">
        <v>192</v>
      </c>
      <c r="K33" s="10" t="s">
        <v>49</v>
      </c>
      <c r="L33" s="10" t="s">
        <v>193</v>
      </c>
    </row>
    <row r="34" customFormat="false" ht="15" hidden="false" customHeight="false" outlineLevel="0" collapsed="false">
      <c r="A34" s="10" t="s">
        <v>194</v>
      </c>
      <c r="B34" s="10" t="s">
        <v>44</v>
      </c>
      <c r="C34" s="10" t="s">
        <v>45</v>
      </c>
      <c r="D34" s="10"/>
      <c r="E34" s="10"/>
      <c r="F34" s="10" t="s">
        <v>170</v>
      </c>
      <c r="G34" s="11" t="s">
        <v>195</v>
      </c>
      <c r="H34" s="10" t="n">
        <v>2024</v>
      </c>
      <c r="I34" s="10" t="s">
        <v>196</v>
      </c>
      <c r="J34" s="11" t="s">
        <v>197</v>
      </c>
      <c r="K34" s="10" t="s">
        <v>61</v>
      </c>
      <c r="L34" s="10"/>
    </row>
    <row r="35" customFormat="false" ht="35.05" hidden="false" customHeight="false" outlineLevel="0" collapsed="false">
      <c r="A35" s="10" t="s">
        <v>198</v>
      </c>
      <c r="B35" s="10" t="s">
        <v>44</v>
      </c>
      <c r="C35" s="10" t="s">
        <v>45</v>
      </c>
      <c r="D35" s="10"/>
      <c r="E35" s="10"/>
      <c r="F35" s="10" t="s">
        <v>44</v>
      </c>
      <c r="G35" s="11" t="s">
        <v>199</v>
      </c>
      <c r="H35" s="10" t="n">
        <v>2021</v>
      </c>
      <c r="I35" s="10" t="s">
        <v>200</v>
      </c>
      <c r="J35" s="11" t="s">
        <v>48</v>
      </c>
      <c r="K35" s="10" t="s">
        <v>49</v>
      </c>
      <c r="L35" s="10" t="s">
        <v>201</v>
      </c>
    </row>
    <row r="36" customFormat="false" ht="23.85" hidden="false" customHeight="false" outlineLevel="0" collapsed="false">
      <c r="A36" s="10" t="s">
        <v>202</v>
      </c>
      <c r="B36" s="10" t="s">
        <v>44</v>
      </c>
      <c r="C36" s="10" t="s">
        <v>45</v>
      </c>
      <c r="D36" s="10"/>
      <c r="E36" s="10"/>
      <c r="F36" s="10" t="s">
        <v>44</v>
      </c>
      <c r="G36" s="11" t="s">
        <v>203</v>
      </c>
      <c r="H36" s="10" t="n">
        <v>2021</v>
      </c>
      <c r="I36" s="10" t="s">
        <v>204</v>
      </c>
      <c r="J36" s="11" t="s">
        <v>205</v>
      </c>
      <c r="K36" s="10" t="s">
        <v>49</v>
      </c>
      <c r="L36" s="10"/>
    </row>
    <row r="37" customFormat="false" ht="15" hidden="false" customHeight="false" outlineLevel="0" collapsed="false">
      <c r="A37" s="10" t="s">
        <v>206</v>
      </c>
      <c r="B37" s="10" t="s">
        <v>44</v>
      </c>
      <c r="C37" s="10" t="s">
        <v>45</v>
      </c>
      <c r="D37" s="10"/>
      <c r="E37" s="10"/>
      <c r="F37" s="10" t="s">
        <v>44</v>
      </c>
      <c r="G37" s="11" t="s">
        <v>207</v>
      </c>
      <c r="H37" s="10" t="n">
        <v>2022</v>
      </c>
      <c r="I37" s="10" t="s">
        <v>208</v>
      </c>
      <c r="J37" s="11" t="s">
        <v>209</v>
      </c>
      <c r="K37" s="10" t="s">
        <v>61</v>
      </c>
      <c r="L37" s="10" t="s">
        <v>210</v>
      </c>
    </row>
    <row r="38" customFormat="false" ht="23.85" hidden="false" customHeight="false" outlineLevel="0" collapsed="false">
      <c r="A38" s="10" t="s">
        <v>211</v>
      </c>
      <c r="B38" s="10" t="s">
        <v>44</v>
      </c>
      <c r="C38" s="10" t="s">
        <v>45</v>
      </c>
      <c r="D38" s="10"/>
      <c r="E38" s="10"/>
      <c r="F38" s="10" t="s">
        <v>44</v>
      </c>
      <c r="G38" s="11" t="s">
        <v>212</v>
      </c>
      <c r="H38" s="10" t="n">
        <v>2020</v>
      </c>
      <c r="I38" s="10" t="s">
        <v>213</v>
      </c>
      <c r="J38" s="11" t="s">
        <v>214</v>
      </c>
      <c r="K38" s="10" t="s">
        <v>49</v>
      </c>
      <c r="L38" s="10"/>
    </row>
    <row r="39" customFormat="false" ht="15" hidden="false" customHeight="false" outlineLevel="0" collapsed="false">
      <c r="A39" s="10" t="s">
        <v>215</v>
      </c>
      <c r="B39" s="10" t="s">
        <v>44</v>
      </c>
      <c r="C39" s="10" t="s">
        <v>45</v>
      </c>
      <c r="D39" s="10"/>
      <c r="E39" s="10"/>
      <c r="F39" s="10" t="s">
        <v>44</v>
      </c>
      <c r="G39" s="11" t="s">
        <v>216</v>
      </c>
      <c r="H39" s="10" t="n">
        <v>2024</v>
      </c>
      <c r="I39" s="10" t="s">
        <v>217</v>
      </c>
      <c r="J39" s="11" t="s">
        <v>218</v>
      </c>
      <c r="K39" s="10" t="s">
        <v>49</v>
      </c>
      <c r="L39" s="10" t="s">
        <v>219</v>
      </c>
    </row>
    <row r="40" customFormat="false" ht="23.85" hidden="false" customHeight="false" outlineLevel="0" collapsed="false">
      <c r="A40" s="10" t="s">
        <v>220</v>
      </c>
      <c r="B40" s="10" t="s">
        <v>44</v>
      </c>
      <c r="C40" s="10" t="s">
        <v>45</v>
      </c>
      <c r="D40" s="10"/>
      <c r="E40" s="10"/>
      <c r="F40" s="10" t="s">
        <v>44</v>
      </c>
      <c r="G40" s="11" t="s">
        <v>221</v>
      </c>
      <c r="H40" s="10" t="n">
        <v>2024</v>
      </c>
      <c r="I40" s="10" t="s">
        <v>222</v>
      </c>
      <c r="J40" s="11" t="s">
        <v>223</v>
      </c>
      <c r="K40" s="10" t="s">
        <v>49</v>
      </c>
      <c r="L40" s="10" t="s">
        <v>224</v>
      </c>
    </row>
    <row r="41" customFormat="false" ht="35.05" hidden="false" customHeight="false" outlineLevel="0" collapsed="false">
      <c r="A41" s="10" t="s">
        <v>225</v>
      </c>
      <c r="B41" s="10" t="s">
        <v>44</v>
      </c>
      <c r="C41" s="10" t="s">
        <v>45</v>
      </c>
      <c r="D41" s="10"/>
      <c r="E41" s="10"/>
      <c r="F41" s="10" t="s">
        <v>170</v>
      </c>
      <c r="G41" s="11" t="s">
        <v>226</v>
      </c>
      <c r="H41" s="10" t="n">
        <v>2019</v>
      </c>
      <c r="I41" s="10" t="s">
        <v>227</v>
      </c>
      <c r="J41" s="11" t="s">
        <v>228</v>
      </c>
      <c r="K41" s="10" t="s">
        <v>49</v>
      </c>
      <c r="L41" s="10" t="s">
        <v>229</v>
      </c>
    </row>
    <row r="42" customFormat="false" ht="15" hidden="false" customHeight="false" outlineLevel="0" collapsed="false">
      <c r="A42" s="10" t="s">
        <v>230</v>
      </c>
      <c r="B42" s="10" t="s">
        <v>44</v>
      </c>
      <c r="C42" s="10" t="s">
        <v>45</v>
      </c>
      <c r="D42" s="10"/>
      <c r="E42" s="10"/>
      <c r="F42" s="10" t="s">
        <v>44</v>
      </c>
      <c r="G42" s="11" t="s">
        <v>231</v>
      </c>
      <c r="H42" s="10" t="n">
        <v>2026</v>
      </c>
      <c r="I42" s="10" t="s">
        <v>232</v>
      </c>
      <c r="J42" s="11" t="s">
        <v>233</v>
      </c>
      <c r="K42" s="10" t="s">
        <v>61</v>
      </c>
      <c r="L42" s="10" t="s">
        <v>234</v>
      </c>
    </row>
    <row r="43" customFormat="false" ht="23.85" hidden="false" customHeight="false" outlineLevel="0" collapsed="false">
      <c r="A43" s="10" t="s">
        <v>235</v>
      </c>
      <c r="B43" s="10" t="s">
        <v>44</v>
      </c>
      <c r="C43" s="10" t="s">
        <v>45</v>
      </c>
      <c r="D43" s="10"/>
      <c r="E43" s="10"/>
      <c r="F43" s="10" t="s">
        <v>52</v>
      </c>
      <c r="G43" s="11" t="s">
        <v>236</v>
      </c>
      <c r="H43" s="10" t="n">
        <v>2025</v>
      </c>
      <c r="I43" s="10" t="s">
        <v>237</v>
      </c>
      <c r="J43" s="11" t="s">
        <v>238</v>
      </c>
      <c r="K43" s="10" t="s">
        <v>49</v>
      </c>
      <c r="L43" s="10" t="s">
        <v>239</v>
      </c>
    </row>
    <row r="44" customFormat="false" ht="23.85" hidden="false" customHeight="false" outlineLevel="0" collapsed="false">
      <c r="A44" s="10" t="s">
        <v>240</v>
      </c>
      <c r="B44" s="10" t="s">
        <v>44</v>
      </c>
      <c r="C44" s="10" t="s">
        <v>45</v>
      </c>
      <c r="D44" s="10"/>
      <c r="E44" s="10"/>
      <c r="F44" s="10" t="s">
        <v>52</v>
      </c>
      <c r="G44" s="11" t="s">
        <v>241</v>
      </c>
      <c r="H44" s="10" t="n">
        <v>2025</v>
      </c>
      <c r="I44" s="10" t="s">
        <v>242</v>
      </c>
      <c r="J44" s="11" t="s">
        <v>243</v>
      </c>
      <c r="K44" s="10" t="s">
        <v>49</v>
      </c>
      <c r="L44" s="10" t="s">
        <v>244</v>
      </c>
    </row>
    <row r="45" customFormat="false" ht="15" hidden="false" customHeight="false" outlineLevel="0" collapsed="false">
      <c r="A45" s="10" t="s">
        <v>245</v>
      </c>
      <c r="B45" s="10" t="s">
        <v>44</v>
      </c>
      <c r="C45" s="10" t="s">
        <v>45</v>
      </c>
      <c r="D45" s="10"/>
      <c r="E45" s="10"/>
      <c r="F45" s="10" t="s">
        <v>44</v>
      </c>
      <c r="G45" s="11" t="s">
        <v>246</v>
      </c>
      <c r="H45" s="10" t="n">
        <v>2026</v>
      </c>
      <c r="I45" s="10" t="s">
        <v>247</v>
      </c>
      <c r="J45" s="11" t="s">
        <v>248</v>
      </c>
      <c r="K45" s="10" t="s">
        <v>61</v>
      </c>
      <c r="L45" s="10" t="s">
        <v>249</v>
      </c>
    </row>
    <row r="46" customFormat="false" ht="35.05" hidden="false" customHeight="false" outlineLevel="0" collapsed="false">
      <c r="A46" s="10" t="s">
        <v>250</v>
      </c>
      <c r="B46" s="10" t="s">
        <v>44</v>
      </c>
      <c r="C46" s="10" t="s">
        <v>45</v>
      </c>
      <c r="D46" s="10"/>
      <c r="E46" s="10"/>
      <c r="F46" s="10" t="s">
        <v>44</v>
      </c>
      <c r="G46" s="11" t="s">
        <v>251</v>
      </c>
      <c r="H46" s="10" t="n">
        <v>2025</v>
      </c>
      <c r="I46" s="10" t="s">
        <v>252</v>
      </c>
      <c r="J46" s="11" t="s">
        <v>253</v>
      </c>
      <c r="K46" s="10" t="s">
        <v>49</v>
      </c>
      <c r="L46" s="10" t="s">
        <v>254</v>
      </c>
    </row>
    <row r="47" customFormat="false" ht="23.85" hidden="false" customHeight="false" outlineLevel="0" collapsed="false">
      <c r="A47" s="10" t="s">
        <v>255</v>
      </c>
      <c r="B47" s="10" t="s">
        <v>44</v>
      </c>
      <c r="C47" s="10" t="s">
        <v>45</v>
      </c>
      <c r="D47" s="10"/>
      <c r="E47" s="10"/>
      <c r="F47" s="10" t="s">
        <v>44</v>
      </c>
      <c r="G47" s="11" t="s">
        <v>256</v>
      </c>
      <c r="H47" s="10" t="n">
        <v>2024</v>
      </c>
      <c r="I47" s="10" t="s">
        <v>257</v>
      </c>
      <c r="J47" s="11" t="s">
        <v>258</v>
      </c>
      <c r="K47" s="10" t="s">
        <v>61</v>
      </c>
      <c r="L47" s="10" t="s">
        <v>259</v>
      </c>
    </row>
    <row r="48" customFormat="false" ht="23.85" hidden="false" customHeight="false" outlineLevel="0" collapsed="false">
      <c r="A48" s="10" t="s">
        <v>260</v>
      </c>
      <c r="B48" s="10" t="s">
        <v>44</v>
      </c>
      <c r="C48" s="10" t="s">
        <v>45</v>
      </c>
      <c r="D48" s="10"/>
      <c r="E48" s="10"/>
      <c r="F48" s="10" t="s">
        <v>44</v>
      </c>
      <c r="G48" s="11" t="s">
        <v>261</v>
      </c>
      <c r="H48" s="10" t="n">
        <v>2024</v>
      </c>
      <c r="I48" s="10" t="s">
        <v>262</v>
      </c>
      <c r="J48" s="11" t="s">
        <v>263</v>
      </c>
      <c r="K48" s="10" t="s">
        <v>61</v>
      </c>
      <c r="L48" s="10" t="s">
        <v>264</v>
      </c>
    </row>
    <row r="49" customFormat="false" ht="23.85" hidden="false" customHeight="false" outlineLevel="0" collapsed="false">
      <c r="A49" s="10" t="s">
        <v>265</v>
      </c>
      <c r="B49" s="10" t="s">
        <v>44</v>
      </c>
      <c r="C49" s="10" t="s">
        <v>45</v>
      </c>
      <c r="D49" s="10"/>
      <c r="E49" s="10"/>
      <c r="F49" s="10" t="s">
        <v>44</v>
      </c>
      <c r="G49" s="11" t="s">
        <v>266</v>
      </c>
      <c r="H49" s="10" t="n">
        <v>2023</v>
      </c>
      <c r="I49" s="10" t="s">
        <v>267</v>
      </c>
      <c r="J49" s="11" t="s">
        <v>268</v>
      </c>
      <c r="K49" s="10" t="s">
        <v>61</v>
      </c>
      <c r="L49" s="10" t="s">
        <v>269</v>
      </c>
    </row>
    <row r="50" customFormat="false" ht="23.85" hidden="false" customHeight="false" outlineLevel="0" collapsed="false">
      <c r="A50" s="10" t="s">
        <v>270</v>
      </c>
      <c r="B50" s="10" t="s">
        <v>44</v>
      </c>
      <c r="C50" s="10" t="s">
        <v>45</v>
      </c>
      <c r="D50" s="10"/>
      <c r="E50" s="10"/>
      <c r="F50" s="10" t="s">
        <v>44</v>
      </c>
      <c r="G50" s="11" t="s">
        <v>271</v>
      </c>
      <c r="H50" s="10" t="n">
        <v>2025</v>
      </c>
      <c r="I50" s="10" t="s">
        <v>272</v>
      </c>
      <c r="J50" s="11" t="s">
        <v>273</v>
      </c>
      <c r="K50" s="10" t="s">
        <v>49</v>
      </c>
      <c r="L50" s="10"/>
    </row>
    <row r="51" customFormat="false" ht="23.85" hidden="false" customHeight="false" outlineLevel="0" collapsed="false">
      <c r="A51" s="10" t="s">
        <v>274</v>
      </c>
      <c r="B51" s="10" t="s">
        <v>44</v>
      </c>
      <c r="C51" s="10" t="s">
        <v>45</v>
      </c>
      <c r="D51" s="10"/>
      <c r="E51" s="10"/>
      <c r="F51" s="10" t="s">
        <v>44</v>
      </c>
      <c r="G51" s="11" t="s">
        <v>275</v>
      </c>
      <c r="H51" s="10" t="n">
        <v>2022</v>
      </c>
      <c r="I51" s="10" t="s">
        <v>276</v>
      </c>
      <c r="J51" s="11" t="s">
        <v>277</v>
      </c>
      <c r="K51" s="10" t="s">
        <v>49</v>
      </c>
      <c r="L51" s="10"/>
    </row>
    <row r="52" customFormat="false" ht="23.85" hidden="false" customHeight="false" outlineLevel="0" collapsed="false">
      <c r="A52" s="10" t="s">
        <v>278</v>
      </c>
      <c r="B52" s="10" t="s">
        <v>44</v>
      </c>
      <c r="C52" s="10" t="s">
        <v>45</v>
      </c>
      <c r="D52" s="10"/>
      <c r="E52" s="10"/>
      <c r="F52" s="10" t="s">
        <v>44</v>
      </c>
      <c r="G52" s="11" t="s">
        <v>279</v>
      </c>
      <c r="H52" s="10" t="n">
        <v>2019</v>
      </c>
      <c r="I52" s="10" t="s">
        <v>280</v>
      </c>
      <c r="J52" s="11" t="s">
        <v>281</v>
      </c>
      <c r="K52" s="10" t="s">
        <v>61</v>
      </c>
      <c r="L52" s="10" t="s">
        <v>282</v>
      </c>
    </row>
    <row r="53" customFormat="false" ht="35.05" hidden="false" customHeight="false" outlineLevel="0" collapsed="false">
      <c r="A53" s="10" t="s">
        <v>283</v>
      </c>
      <c r="B53" s="10" t="s">
        <v>44</v>
      </c>
      <c r="C53" s="10" t="s">
        <v>45</v>
      </c>
      <c r="D53" s="10"/>
      <c r="E53" s="10"/>
      <c r="F53" s="10" t="s">
        <v>44</v>
      </c>
      <c r="G53" s="11" t="s">
        <v>284</v>
      </c>
      <c r="H53" s="10" t="n">
        <v>2021</v>
      </c>
      <c r="I53" s="10" t="s">
        <v>47</v>
      </c>
      <c r="J53" s="11" t="s">
        <v>48</v>
      </c>
      <c r="K53" s="10" t="s">
        <v>49</v>
      </c>
      <c r="L53" s="10" t="s">
        <v>285</v>
      </c>
    </row>
    <row r="54" customFormat="false" ht="23.85" hidden="false" customHeight="false" outlineLevel="0" collapsed="false">
      <c r="A54" s="10" t="s">
        <v>286</v>
      </c>
      <c r="B54" s="10" t="s">
        <v>44</v>
      </c>
      <c r="C54" s="10" t="s">
        <v>45</v>
      </c>
      <c r="D54" s="10"/>
      <c r="E54" s="10"/>
      <c r="F54" s="10" t="s">
        <v>44</v>
      </c>
      <c r="G54" s="11" t="s">
        <v>287</v>
      </c>
      <c r="H54" s="10" t="n">
        <v>2026</v>
      </c>
      <c r="I54" s="10" t="s">
        <v>288</v>
      </c>
      <c r="J54" s="11" t="s">
        <v>289</v>
      </c>
      <c r="K54" s="10" t="s">
        <v>61</v>
      </c>
      <c r="L54" s="10" t="s">
        <v>290</v>
      </c>
    </row>
    <row r="55" customFormat="false" ht="15" hidden="false" customHeight="false" outlineLevel="0" collapsed="false">
      <c r="A55" s="10" t="s">
        <v>291</v>
      </c>
      <c r="B55" s="10" t="s">
        <v>44</v>
      </c>
      <c r="C55" s="10" t="s">
        <v>45</v>
      </c>
      <c r="D55" s="10"/>
      <c r="E55" s="10"/>
      <c r="F55" s="10" t="s">
        <v>44</v>
      </c>
      <c r="G55" s="11" t="s">
        <v>292</v>
      </c>
      <c r="H55" s="10" t="n">
        <v>2024</v>
      </c>
      <c r="I55" s="10" t="s">
        <v>293</v>
      </c>
      <c r="J55" s="11" t="s">
        <v>66</v>
      </c>
      <c r="K55" s="10" t="s">
        <v>49</v>
      </c>
      <c r="L55" s="10"/>
    </row>
    <row r="56" customFormat="false" ht="23.85" hidden="false" customHeight="false" outlineLevel="0" collapsed="false">
      <c r="A56" s="10" t="s">
        <v>294</v>
      </c>
      <c r="B56" s="10" t="s">
        <v>44</v>
      </c>
      <c r="C56" s="10" t="s">
        <v>45</v>
      </c>
      <c r="D56" s="10"/>
      <c r="E56" s="10"/>
      <c r="F56" s="10" t="s">
        <v>44</v>
      </c>
      <c r="G56" s="11" t="s">
        <v>295</v>
      </c>
      <c r="H56" s="10" t="n">
        <v>2026</v>
      </c>
      <c r="I56" s="10" t="s">
        <v>296</v>
      </c>
      <c r="J56" s="11" t="s">
        <v>297</v>
      </c>
      <c r="K56" s="10" t="s">
        <v>61</v>
      </c>
      <c r="L56" s="10" t="s">
        <v>298</v>
      </c>
    </row>
    <row r="57" customFormat="false" ht="35.05" hidden="false" customHeight="false" outlineLevel="0" collapsed="false">
      <c r="A57" s="10" t="s">
        <v>299</v>
      </c>
      <c r="B57" s="10" t="s">
        <v>44</v>
      </c>
      <c r="C57" s="10" t="s">
        <v>45</v>
      </c>
      <c r="D57" s="10"/>
      <c r="E57" s="10"/>
      <c r="F57" s="10" t="s">
        <v>44</v>
      </c>
      <c r="G57" s="11" t="s">
        <v>300</v>
      </c>
      <c r="H57" s="10" t="n">
        <v>2023</v>
      </c>
      <c r="I57" s="10" t="s">
        <v>301</v>
      </c>
      <c r="J57" s="11" t="s">
        <v>48</v>
      </c>
      <c r="K57" s="10" t="s">
        <v>49</v>
      </c>
      <c r="L57" s="10" t="s">
        <v>302</v>
      </c>
    </row>
    <row r="58" customFormat="false" ht="46.25" hidden="false" customHeight="false" outlineLevel="0" collapsed="false">
      <c r="A58" s="10" t="s">
        <v>303</v>
      </c>
      <c r="B58" s="10" t="s">
        <v>44</v>
      </c>
      <c r="C58" s="10" t="s">
        <v>45</v>
      </c>
      <c r="D58" s="10"/>
      <c r="E58" s="10"/>
      <c r="F58" s="10" t="s">
        <v>52</v>
      </c>
      <c r="G58" s="11" t="s">
        <v>304</v>
      </c>
      <c r="H58" s="10" t="n">
        <v>2023</v>
      </c>
      <c r="I58" s="10" t="s">
        <v>305</v>
      </c>
      <c r="J58" s="11" t="s">
        <v>306</v>
      </c>
      <c r="K58" s="10" t="s">
        <v>49</v>
      </c>
      <c r="L58" s="10" t="s">
        <v>307</v>
      </c>
    </row>
    <row r="59" customFormat="false" ht="23.85" hidden="false" customHeight="false" outlineLevel="0" collapsed="false">
      <c r="A59" s="10" t="s">
        <v>308</v>
      </c>
      <c r="B59" s="10" t="s">
        <v>44</v>
      </c>
      <c r="C59" s="10" t="s">
        <v>45</v>
      </c>
      <c r="D59" s="10"/>
      <c r="E59" s="10"/>
      <c r="F59" s="10" t="s">
        <v>52</v>
      </c>
      <c r="G59" s="11" t="s">
        <v>309</v>
      </c>
      <c r="H59" s="10" t="n">
        <v>2023</v>
      </c>
      <c r="I59" s="10" t="s">
        <v>310</v>
      </c>
      <c r="J59" s="11" t="s">
        <v>311</v>
      </c>
      <c r="K59" s="10" t="s">
        <v>49</v>
      </c>
      <c r="L59" s="10" t="s">
        <v>312</v>
      </c>
    </row>
    <row r="60" customFormat="false" ht="23.85" hidden="false" customHeight="false" outlineLevel="0" collapsed="false">
      <c r="A60" s="10" t="s">
        <v>313</v>
      </c>
      <c r="B60" s="10" t="s">
        <v>44</v>
      </c>
      <c r="C60" s="10" t="s">
        <v>45</v>
      </c>
      <c r="D60" s="10"/>
      <c r="E60" s="10"/>
      <c r="F60" s="10" t="s">
        <v>44</v>
      </c>
      <c r="G60" s="11" t="s">
        <v>314</v>
      </c>
      <c r="H60" s="10" t="n">
        <v>2024</v>
      </c>
      <c r="I60" s="10" t="s">
        <v>315</v>
      </c>
      <c r="J60" s="11" t="s">
        <v>316</v>
      </c>
      <c r="K60" s="10" t="s">
        <v>61</v>
      </c>
      <c r="L60" s="10" t="s">
        <v>317</v>
      </c>
    </row>
    <row r="61" customFormat="false" ht="15" hidden="false" customHeight="false" outlineLevel="0" collapsed="false">
      <c r="A61" s="10" t="s">
        <v>318</v>
      </c>
      <c r="B61" s="10" t="s">
        <v>44</v>
      </c>
      <c r="C61" s="10" t="s">
        <v>45</v>
      </c>
      <c r="D61" s="10"/>
      <c r="E61" s="10"/>
      <c r="F61" s="10" t="s">
        <v>44</v>
      </c>
      <c r="G61" s="11" t="s">
        <v>319</v>
      </c>
      <c r="H61" s="10" t="n">
        <v>2026</v>
      </c>
      <c r="I61" s="10" t="s">
        <v>320</v>
      </c>
      <c r="J61" s="11" t="s">
        <v>321</v>
      </c>
      <c r="K61" s="10" t="s">
        <v>49</v>
      </c>
      <c r="L61" s="10" t="s">
        <v>322</v>
      </c>
    </row>
    <row r="62" customFormat="false" ht="23.85" hidden="false" customHeight="false" outlineLevel="0" collapsed="false">
      <c r="A62" s="10" t="s">
        <v>323</v>
      </c>
      <c r="B62" s="10" t="s">
        <v>44</v>
      </c>
      <c r="C62" s="10" t="s">
        <v>45</v>
      </c>
      <c r="D62" s="10"/>
      <c r="E62" s="10"/>
      <c r="F62" s="10" t="s">
        <v>52</v>
      </c>
      <c r="G62" s="11" t="s">
        <v>324</v>
      </c>
      <c r="H62" s="10" t="n">
        <v>2025</v>
      </c>
      <c r="I62" s="10" t="s">
        <v>325</v>
      </c>
      <c r="J62" s="11" t="s">
        <v>326</v>
      </c>
      <c r="K62" s="10" t="s">
        <v>49</v>
      </c>
      <c r="L62" s="10" t="s">
        <v>327</v>
      </c>
    </row>
    <row r="63" customFormat="false" ht="23.85" hidden="false" customHeight="false" outlineLevel="0" collapsed="false">
      <c r="A63" s="10" t="s">
        <v>328</v>
      </c>
      <c r="B63" s="10" t="s">
        <v>44</v>
      </c>
      <c r="C63" s="10" t="s">
        <v>45</v>
      </c>
      <c r="D63" s="10"/>
      <c r="E63" s="10"/>
      <c r="F63" s="10" t="s">
        <v>44</v>
      </c>
      <c r="G63" s="11" t="s">
        <v>329</v>
      </c>
      <c r="H63" s="10" t="n">
        <v>2022</v>
      </c>
      <c r="I63" s="10" t="s">
        <v>330</v>
      </c>
      <c r="J63" s="11" t="s">
        <v>331</v>
      </c>
      <c r="K63" s="10" t="s">
        <v>61</v>
      </c>
      <c r="L63" s="10" t="s">
        <v>332</v>
      </c>
    </row>
    <row r="64" customFormat="false" ht="23.85" hidden="false" customHeight="false" outlineLevel="0" collapsed="false">
      <c r="A64" s="10" t="s">
        <v>333</v>
      </c>
      <c r="B64" s="10" t="s">
        <v>44</v>
      </c>
      <c r="C64" s="10" t="s">
        <v>45</v>
      </c>
      <c r="D64" s="10"/>
      <c r="E64" s="10"/>
      <c r="F64" s="10" t="s">
        <v>44</v>
      </c>
      <c r="G64" s="11" t="s">
        <v>334</v>
      </c>
      <c r="H64" s="10" t="n">
        <v>2022</v>
      </c>
      <c r="I64" s="10" t="s">
        <v>335</v>
      </c>
      <c r="J64" s="11" t="s">
        <v>336</v>
      </c>
      <c r="K64" s="10" t="s">
        <v>61</v>
      </c>
      <c r="L64" s="10" t="s">
        <v>337</v>
      </c>
    </row>
    <row r="65" customFormat="false" ht="23.85" hidden="false" customHeight="false" outlineLevel="0" collapsed="false">
      <c r="A65" s="10" t="s">
        <v>338</v>
      </c>
      <c r="B65" s="10" t="s">
        <v>44</v>
      </c>
      <c r="C65" s="10" t="s">
        <v>45</v>
      </c>
      <c r="D65" s="10"/>
      <c r="E65" s="10"/>
      <c r="F65" s="10" t="s">
        <v>52</v>
      </c>
      <c r="G65" s="11" t="s">
        <v>339</v>
      </c>
      <c r="H65" s="10" t="n">
        <v>2025</v>
      </c>
      <c r="I65" s="10" t="s">
        <v>340</v>
      </c>
      <c r="J65" s="11" t="s">
        <v>311</v>
      </c>
      <c r="K65" s="10" t="s">
        <v>49</v>
      </c>
      <c r="L65" s="10" t="s">
        <v>341</v>
      </c>
    </row>
    <row r="66" customFormat="false" ht="15" hidden="false" customHeight="false" outlineLevel="0" collapsed="false">
      <c r="A66" s="10" t="s">
        <v>342</v>
      </c>
      <c r="B66" s="10" t="s">
        <v>44</v>
      </c>
      <c r="C66" s="10" t="s">
        <v>45</v>
      </c>
      <c r="D66" s="10"/>
      <c r="E66" s="10"/>
      <c r="F66" s="10" t="s">
        <v>44</v>
      </c>
      <c r="G66" s="11" t="s">
        <v>343</v>
      </c>
      <c r="H66" s="10" t="n">
        <v>2023</v>
      </c>
      <c r="I66" s="10" t="s">
        <v>344</v>
      </c>
      <c r="J66" s="11" t="s">
        <v>345</v>
      </c>
      <c r="K66" s="10" t="s">
        <v>61</v>
      </c>
      <c r="L66" s="10"/>
    </row>
    <row r="67" customFormat="false" ht="15" hidden="false" customHeight="false" outlineLevel="0" collapsed="false">
      <c r="A67" s="10" t="s">
        <v>346</v>
      </c>
      <c r="B67" s="10" t="s">
        <v>44</v>
      </c>
      <c r="C67" s="10" t="s">
        <v>45</v>
      </c>
      <c r="D67" s="10"/>
      <c r="E67" s="10"/>
      <c r="F67" s="10" t="s">
        <v>52</v>
      </c>
      <c r="G67" s="11" t="s">
        <v>347</v>
      </c>
      <c r="H67" s="10" t="n">
        <v>2026</v>
      </c>
      <c r="I67" s="10" t="s">
        <v>348</v>
      </c>
      <c r="J67" s="11" t="s">
        <v>349</v>
      </c>
      <c r="K67" s="10" t="s">
        <v>61</v>
      </c>
      <c r="L67" s="10" t="s">
        <v>350</v>
      </c>
    </row>
    <row r="68" customFormat="false" ht="15" hidden="false" customHeight="false" outlineLevel="0" collapsed="false">
      <c r="A68" s="10" t="s">
        <v>351</v>
      </c>
      <c r="B68" s="10" t="s">
        <v>44</v>
      </c>
      <c r="C68" s="10" t="s">
        <v>45</v>
      </c>
      <c r="D68" s="10"/>
      <c r="E68" s="10"/>
      <c r="F68" s="10" t="s">
        <v>44</v>
      </c>
      <c r="G68" s="11" t="s">
        <v>352</v>
      </c>
      <c r="H68" s="10" t="n">
        <v>2019</v>
      </c>
      <c r="I68" s="10" t="s">
        <v>353</v>
      </c>
      <c r="J68" s="11" t="s">
        <v>178</v>
      </c>
      <c r="K68" s="10" t="s">
        <v>61</v>
      </c>
      <c r="L68" s="10" t="s">
        <v>354</v>
      </c>
    </row>
    <row r="69" customFormat="false" ht="35.05" hidden="false" customHeight="false" outlineLevel="0" collapsed="false">
      <c r="A69" s="10" t="s">
        <v>355</v>
      </c>
      <c r="B69" s="10" t="s">
        <v>44</v>
      </c>
      <c r="C69" s="10" t="s">
        <v>45</v>
      </c>
      <c r="D69" s="10"/>
      <c r="E69" s="10"/>
      <c r="F69" s="10" t="s">
        <v>44</v>
      </c>
      <c r="G69" s="11" t="s">
        <v>356</v>
      </c>
      <c r="H69" s="10" t="n">
        <v>2024</v>
      </c>
      <c r="I69" s="10" t="s">
        <v>357</v>
      </c>
      <c r="J69" s="11" t="s">
        <v>358</v>
      </c>
      <c r="K69" s="10" t="s">
        <v>61</v>
      </c>
      <c r="L69" s="10" t="s">
        <v>359</v>
      </c>
    </row>
    <row r="70" customFormat="false" ht="15" hidden="false" customHeight="false" outlineLevel="0" collapsed="false">
      <c r="A70" s="10" t="s">
        <v>360</v>
      </c>
      <c r="B70" s="10" t="s">
        <v>44</v>
      </c>
      <c r="C70" s="10" t="s">
        <v>45</v>
      </c>
      <c r="D70" s="10"/>
      <c r="E70" s="10"/>
      <c r="F70" s="10" t="s">
        <v>44</v>
      </c>
      <c r="G70" s="11" t="s">
        <v>361</v>
      </c>
      <c r="H70" s="10" t="n">
        <v>2018</v>
      </c>
      <c r="I70" s="10" t="s">
        <v>362</v>
      </c>
      <c r="J70" s="11" t="s">
        <v>363</v>
      </c>
      <c r="K70" s="10" t="s">
        <v>49</v>
      </c>
      <c r="L70" s="10" t="s">
        <v>364</v>
      </c>
    </row>
    <row r="71" customFormat="false" ht="15" hidden="false" customHeight="false" outlineLevel="0" collapsed="false">
      <c r="A71" s="10" t="s">
        <v>365</v>
      </c>
      <c r="B71" s="10" t="s">
        <v>44</v>
      </c>
      <c r="C71" s="10" t="s">
        <v>45</v>
      </c>
      <c r="D71" s="10"/>
      <c r="E71" s="10"/>
      <c r="F71" s="10" t="s">
        <v>44</v>
      </c>
      <c r="G71" s="11" t="s">
        <v>366</v>
      </c>
      <c r="H71" s="10" t="n">
        <v>2026</v>
      </c>
      <c r="I71" s="10" t="s">
        <v>367</v>
      </c>
      <c r="J71" s="11" t="s">
        <v>321</v>
      </c>
      <c r="K71" s="10" t="s">
        <v>49</v>
      </c>
      <c r="L71" s="10" t="s">
        <v>368</v>
      </c>
    </row>
    <row r="72" customFormat="false" ht="35.05" hidden="false" customHeight="false" outlineLevel="0" collapsed="false">
      <c r="A72" s="10" t="s">
        <v>369</v>
      </c>
      <c r="B72" s="10" t="s">
        <v>44</v>
      </c>
      <c r="C72" s="10" t="s">
        <v>45</v>
      </c>
      <c r="D72" s="10"/>
      <c r="E72" s="10"/>
      <c r="F72" s="10" t="s">
        <v>52</v>
      </c>
      <c r="G72" s="11" t="s">
        <v>370</v>
      </c>
      <c r="H72" s="10" t="n">
        <v>2025</v>
      </c>
      <c r="I72" s="10" t="s">
        <v>371</v>
      </c>
      <c r="J72" s="11" t="s">
        <v>372</v>
      </c>
      <c r="K72" s="10" t="s">
        <v>49</v>
      </c>
      <c r="L72" s="10" t="s">
        <v>373</v>
      </c>
    </row>
    <row r="73" customFormat="false" ht="23.85" hidden="false" customHeight="false" outlineLevel="0" collapsed="false">
      <c r="A73" s="10" t="s">
        <v>374</v>
      </c>
      <c r="B73" s="10" t="s">
        <v>44</v>
      </c>
      <c r="C73" s="10" t="s">
        <v>45</v>
      </c>
      <c r="D73" s="10"/>
      <c r="E73" s="10"/>
      <c r="F73" s="10" t="s">
        <v>52</v>
      </c>
      <c r="G73" s="11" t="s">
        <v>375</v>
      </c>
      <c r="H73" s="10" t="n">
        <v>2025</v>
      </c>
      <c r="I73" s="10" t="s">
        <v>376</v>
      </c>
      <c r="J73" s="11" t="s">
        <v>55</v>
      </c>
      <c r="K73" s="10" t="s">
        <v>49</v>
      </c>
      <c r="L73" s="10" t="s">
        <v>377</v>
      </c>
    </row>
    <row r="74" customFormat="false" ht="23.85" hidden="false" customHeight="false" outlineLevel="0" collapsed="false">
      <c r="A74" s="10" t="s">
        <v>378</v>
      </c>
      <c r="B74" s="10" t="s">
        <v>44</v>
      </c>
      <c r="C74" s="10" t="s">
        <v>45</v>
      </c>
      <c r="D74" s="10"/>
      <c r="E74" s="10"/>
      <c r="F74" s="10" t="s">
        <v>52</v>
      </c>
      <c r="G74" s="11" t="s">
        <v>379</v>
      </c>
      <c r="H74" s="10" t="n">
        <v>2018</v>
      </c>
      <c r="I74" s="10" t="s">
        <v>380</v>
      </c>
      <c r="J74" s="11" t="s">
        <v>55</v>
      </c>
      <c r="K74" s="10" t="s">
        <v>49</v>
      </c>
      <c r="L74" s="10" t="s">
        <v>381</v>
      </c>
    </row>
    <row r="75" customFormat="false" ht="23.85" hidden="false" customHeight="false" outlineLevel="0" collapsed="false">
      <c r="A75" s="10" t="s">
        <v>382</v>
      </c>
      <c r="B75" s="10" t="s">
        <v>44</v>
      </c>
      <c r="C75" s="10" t="s">
        <v>45</v>
      </c>
      <c r="D75" s="10"/>
      <c r="E75" s="10"/>
      <c r="F75" s="10" t="s">
        <v>52</v>
      </c>
      <c r="G75" s="11" t="s">
        <v>383</v>
      </c>
      <c r="H75" s="10" t="n">
        <v>2025</v>
      </c>
      <c r="I75" s="10" t="s">
        <v>384</v>
      </c>
      <c r="J75" s="11" t="s">
        <v>311</v>
      </c>
      <c r="K75" s="10" t="s">
        <v>49</v>
      </c>
      <c r="L75" s="10" t="s">
        <v>385</v>
      </c>
    </row>
    <row r="76" customFormat="false" ht="23.85" hidden="false" customHeight="false" outlineLevel="0" collapsed="false">
      <c r="A76" s="10" t="s">
        <v>386</v>
      </c>
      <c r="B76" s="10" t="s">
        <v>44</v>
      </c>
      <c r="C76" s="10" t="s">
        <v>45</v>
      </c>
      <c r="D76" s="10"/>
      <c r="E76" s="10"/>
      <c r="F76" s="10" t="s">
        <v>44</v>
      </c>
      <c r="G76" s="11" t="s">
        <v>387</v>
      </c>
      <c r="H76" s="10" t="n">
        <v>2024</v>
      </c>
      <c r="I76" s="10" t="s">
        <v>388</v>
      </c>
      <c r="J76" s="11" t="s">
        <v>389</v>
      </c>
      <c r="K76" s="10" t="s">
        <v>49</v>
      </c>
      <c r="L76" s="10"/>
    </row>
    <row r="77" customFormat="false" ht="15" hidden="false" customHeight="false" outlineLevel="0" collapsed="false">
      <c r="A77" s="10" t="s">
        <v>390</v>
      </c>
      <c r="B77" s="10" t="s">
        <v>44</v>
      </c>
      <c r="C77" s="10" t="s">
        <v>45</v>
      </c>
      <c r="D77" s="10"/>
      <c r="E77" s="10"/>
      <c r="F77" s="10" t="s">
        <v>44</v>
      </c>
      <c r="G77" s="11" t="s">
        <v>391</v>
      </c>
      <c r="H77" s="10" t="n">
        <v>2025</v>
      </c>
      <c r="I77" s="10" t="s">
        <v>392</v>
      </c>
      <c r="J77" s="11" t="s">
        <v>393</v>
      </c>
      <c r="K77" s="10" t="s">
        <v>61</v>
      </c>
      <c r="L77" s="10" t="s">
        <v>394</v>
      </c>
    </row>
    <row r="78" customFormat="false" ht="23.85" hidden="false" customHeight="false" outlineLevel="0" collapsed="false">
      <c r="A78" s="10" t="s">
        <v>395</v>
      </c>
      <c r="B78" s="10" t="s">
        <v>44</v>
      </c>
      <c r="C78" s="10" t="s">
        <v>45</v>
      </c>
      <c r="D78" s="10"/>
      <c r="E78" s="10"/>
      <c r="F78" s="10" t="s">
        <v>44</v>
      </c>
      <c r="G78" s="11" t="s">
        <v>396</v>
      </c>
      <c r="H78" s="10" t="n">
        <v>2026</v>
      </c>
      <c r="I78" s="10" t="s">
        <v>272</v>
      </c>
      <c r="J78" s="11" t="s">
        <v>397</v>
      </c>
      <c r="K78" s="10" t="s">
        <v>61</v>
      </c>
      <c r="L78" s="10" t="s">
        <v>398</v>
      </c>
    </row>
    <row r="79" customFormat="false" ht="15" hidden="false" customHeight="false" outlineLevel="0" collapsed="false">
      <c r="A79" s="10" t="s">
        <v>399</v>
      </c>
      <c r="B79" s="10" t="s">
        <v>44</v>
      </c>
      <c r="C79" s="10" t="s">
        <v>45</v>
      </c>
      <c r="D79" s="10"/>
      <c r="E79" s="10"/>
      <c r="F79" s="10" t="s">
        <v>44</v>
      </c>
      <c r="G79" s="11" t="s">
        <v>400</v>
      </c>
      <c r="H79" s="10" t="n">
        <v>2024</v>
      </c>
      <c r="I79" s="10" t="s">
        <v>401</v>
      </c>
      <c r="J79" s="11" t="s">
        <v>66</v>
      </c>
      <c r="K79" s="10" t="s">
        <v>49</v>
      </c>
      <c r="L79" s="10"/>
    </row>
    <row r="80" customFormat="false" ht="23.85" hidden="false" customHeight="false" outlineLevel="0" collapsed="false">
      <c r="A80" s="10" t="s">
        <v>402</v>
      </c>
      <c r="B80" s="10" t="s">
        <v>44</v>
      </c>
      <c r="C80" s="10" t="s">
        <v>45</v>
      </c>
      <c r="D80" s="10"/>
      <c r="E80" s="10"/>
      <c r="F80" s="10" t="s">
        <v>44</v>
      </c>
      <c r="G80" s="11" t="s">
        <v>403</v>
      </c>
      <c r="H80" s="10" t="n">
        <v>2025</v>
      </c>
      <c r="I80" s="10" t="s">
        <v>404</v>
      </c>
      <c r="J80" s="11" t="s">
        <v>405</v>
      </c>
      <c r="K80" s="10" t="s">
        <v>49</v>
      </c>
      <c r="L80" s="10" t="s">
        <v>406</v>
      </c>
    </row>
    <row r="81" customFormat="false" ht="35.05" hidden="false" customHeight="false" outlineLevel="0" collapsed="false">
      <c r="A81" s="10" t="s">
        <v>407</v>
      </c>
      <c r="B81" s="10" t="s">
        <v>44</v>
      </c>
      <c r="C81" s="10" t="s">
        <v>408</v>
      </c>
      <c r="D81" s="10" t="s">
        <v>189</v>
      </c>
      <c r="E81" s="10" t="s">
        <v>409</v>
      </c>
      <c r="F81" s="10"/>
      <c r="G81" s="11" t="s">
        <v>190</v>
      </c>
      <c r="H81" s="10" t="n">
        <v>2026</v>
      </c>
      <c r="I81" s="10" t="s">
        <v>191</v>
      </c>
      <c r="J81" s="11" t="s">
        <v>410</v>
      </c>
      <c r="K81" s="10" t="s">
        <v>49</v>
      </c>
      <c r="L81" s="10" t="s">
        <v>193</v>
      </c>
    </row>
    <row r="82" customFormat="false" ht="15" hidden="false" customHeight="false" outlineLevel="0" collapsed="false">
      <c r="A82" s="10" t="s">
        <v>411</v>
      </c>
      <c r="B82" s="10" t="s">
        <v>44</v>
      </c>
      <c r="C82" s="10" t="s">
        <v>45</v>
      </c>
      <c r="D82" s="10"/>
      <c r="E82" s="10"/>
      <c r="F82" s="10" t="s">
        <v>44</v>
      </c>
      <c r="G82" s="11" t="s">
        <v>412</v>
      </c>
      <c r="H82" s="10" t="n">
        <v>2020</v>
      </c>
      <c r="I82" s="10" t="s">
        <v>413</v>
      </c>
      <c r="J82" s="11" t="s">
        <v>414</v>
      </c>
      <c r="K82" s="10" t="s">
        <v>61</v>
      </c>
      <c r="L82" s="10"/>
    </row>
    <row r="83" customFormat="false" ht="23.85" hidden="false" customHeight="false" outlineLevel="0" collapsed="false">
      <c r="A83" s="10" t="s">
        <v>415</v>
      </c>
      <c r="B83" s="10" t="s">
        <v>44</v>
      </c>
      <c r="C83" s="10" t="s">
        <v>45</v>
      </c>
      <c r="D83" s="10"/>
      <c r="E83" s="10"/>
      <c r="F83" s="10" t="s">
        <v>44</v>
      </c>
      <c r="G83" s="11" t="s">
        <v>416</v>
      </c>
      <c r="H83" s="10" t="n">
        <v>2026</v>
      </c>
      <c r="I83" s="10" t="s">
        <v>417</v>
      </c>
      <c r="J83" s="11" t="s">
        <v>418</v>
      </c>
      <c r="K83" s="10" t="s">
        <v>49</v>
      </c>
      <c r="L83" s="10" t="s">
        <v>419</v>
      </c>
    </row>
    <row r="84" customFormat="false" ht="35.05" hidden="false" customHeight="false" outlineLevel="0" collapsed="false">
      <c r="A84" s="10" t="s">
        <v>420</v>
      </c>
      <c r="B84" s="10" t="s">
        <v>44</v>
      </c>
      <c r="C84" s="10" t="s">
        <v>45</v>
      </c>
      <c r="D84" s="10"/>
      <c r="E84" s="10"/>
      <c r="F84" s="10" t="s">
        <v>52</v>
      </c>
      <c r="G84" s="11" t="s">
        <v>421</v>
      </c>
      <c r="H84" s="10" t="n">
        <v>2024</v>
      </c>
      <c r="I84" s="10" t="s">
        <v>422</v>
      </c>
      <c r="J84" s="11" t="s">
        <v>423</v>
      </c>
      <c r="K84" s="10" t="s">
        <v>49</v>
      </c>
      <c r="L84" s="10" t="s">
        <v>424</v>
      </c>
    </row>
    <row r="85" customFormat="false" ht="23.85" hidden="false" customHeight="false" outlineLevel="0" collapsed="false">
      <c r="A85" s="10" t="s">
        <v>425</v>
      </c>
      <c r="B85" s="10" t="s">
        <v>44</v>
      </c>
      <c r="C85" s="10" t="s">
        <v>45</v>
      </c>
      <c r="D85" s="10"/>
      <c r="E85" s="10"/>
      <c r="F85" s="10" t="s">
        <v>44</v>
      </c>
      <c r="G85" s="11" t="s">
        <v>426</v>
      </c>
      <c r="H85" s="10" t="n">
        <v>2022</v>
      </c>
      <c r="I85" s="10" t="s">
        <v>427</v>
      </c>
      <c r="J85" s="11" t="s">
        <v>428</v>
      </c>
      <c r="K85" s="10" t="s">
        <v>61</v>
      </c>
      <c r="L85" s="10" t="s">
        <v>429</v>
      </c>
    </row>
    <row r="86" customFormat="false" ht="35.05" hidden="false" customHeight="false" outlineLevel="0" collapsed="false">
      <c r="A86" s="10" t="s">
        <v>430</v>
      </c>
      <c r="B86" s="10" t="s">
        <v>44</v>
      </c>
      <c r="C86" s="10" t="s">
        <v>45</v>
      </c>
      <c r="D86" s="10"/>
      <c r="E86" s="10"/>
      <c r="F86" s="10" t="s">
        <v>170</v>
      </c>
      <c r="G86" s="11" t="s">
        <v>431</v>
      </c>
      <c r="H86" s="10" t="n">
        <v>2026</v>
      </c>
      <c r="I86" s="10" t="s">
        <v>432</v>
      </c>
      <c r="J86" s="11" t="s">
        <v>433</v>
      </c>
      <c r="K86" s="10" t="s">
        <v>49</v>
      </c>
      <c r="L86" s="10" t="s">
        <v>434</v>
      </c>
    </row>
    <row r="87" customFormat="false" ht="23.85" hidden="false" customHeight="false" outlineLevel="0" collapsed="false">
      <c r="A87" s="10" t="s">
        <v>435</v>
      </c>
      <c r="B87" s="10" t="s">
        <v>44</v>
      </c>
      <c r="C87" s="10" t="s">
        <v>45</v>
      </c>
      <c r="D87" s="10"/>
      <c r="E87" s="10"/>
      <c r="F87" s="10" t="s">
        <v>44</v>
      </c>
      <c r="G87" s="11" t="s">
        <v>436</v>
      </c>
      <c r="H87" s="10" t="n">
        <v>2024</v>
      </c>
      <c r="I87" s="10" t="s">
        <v>232</v>
      </c>
      <c r="J87" s="11" t="s">
        <v>70</v>
      </c>
      <c r="K87" s="10" t="s">
        <v>49</v>
      </c>
      <c r="L87" s="10"/>
    </row>
    <row r="88" customFormat="false" ht="23.85" hidden="false" customHeight="false" outlineLevel="0" collapsed="false">
      <c r="A88" s="10" t="s">
        <v>437</v>
      </c>
      <c r="B88" s="10" t="s">
        <v>44</v>
      </c>
      <c r="C88" s="10" t="s">
        <v>45</v>
      </c>
      <c r="D88" s="10"/>
      <c r="E88" s="10"/>
      <c r="F88" s="10" t="s">
        <v>44</v>
      </c>
      <c r="G88" s="11" t="s">
        <v>438</v>
      </c>
      <c r="H88" s="10" t="n">
        <v>2026</v>
      </c>
      <c r="I88" s="10" t="s">
        <v>439</v>
      </c>
      <c r="J88" s="11" t="s">
        <v>440</v>
      </c>
      <c r="K88" s="10" t="s">
        <v>61</v>
      </c>
      <c r="L88" s="10" t="s">
        <v>441</v>
      </c>
    </row>
    <row r="89" customFormat="false" ht="15" hidden="false" customHeight="false" outlineLevel="0" collapsed="false">
      <c r="A89" s="10" t="s">
        <v>442</v>
      </c>
      <c r="B89" s="10" t="s">
        <v>44</v>
      </c>
      <c r="C89" s="10" t="s">
        <v>45</v>
      </c>
      <c r="D89" s="10"/>
      <c r="E89" s="10"/>
      <c r="F89" s="10" t="s">
        <v>44</v>
      </c>
      <c r="G89" s="11" t="s">
        <v>443</v>
      </c>
      <c r="H89" s="10" t="n">
        <v>2023</v>
      </c>
      <c r="I89" s="10" t="s">
        <v>444</v>
      </c>
      <c r="J89" s="11" t="s">
        <v>445</v>
      </c>
      <c r="K89" s="10" t="s">
        <v>61</v>
      </c>
      <c r="L89" s="10" t="s">
        <v>446</v>
      </c>
    </row>
    <row r="90" customFormat="false" ht="35.05" hidden="false" customHeight="false" outlineLevel="0" collapsed="false">
      <c r="A90" s="10" t="s">
        <v>447</v>
      </c>
      <c r="B90" s="10" t="s">
        <v>44</v>
      </c>
      <c r="C90" s="10" t="s">
        <v>45</v>
      </c>
      <c r="D90" s="10"/>
      <c r="E90" s="10"/>
      <c r="F90" s="10" t="s">
        <v>170</v>
      </c>
      <c r="G90" s="11" t="s">
        <v>448</v>
      </c>
      <c r="H90" s="10" t="n">
        <v>2025</v>
      </c>
      <c r="I90" s="10" t="s">
        <v>449</v>
      </c>
      <c r="J90" s="11" t="s">
        <v>450</v>
      </c>
      <c r="K90" s="10" t="s">
        <v>49</v>
      </c>
      <c r="L90" s="10" t="s">
        <v>451</v>
      </c>
    </row>
    <row r="91" customFormat="false" ht="23.85" hidden="false" customHeight="false" outlineLevel="0" collapsed="false">
      <c r="A91" s="10" t="s">
        <v>452</v>
      </c>
      <c r="B91" s="10" t="s">
        <v>44</v>
      </c>
      <c r="C91" s="10" t="s">
        <v>45</v>
      </c>
      <c r="D91" s="10"/>
      <c r="E91" s="10"/>
      <c r="F91" s="10" t="s">
        <v>52</v>
      </c>
      <c r="G91" s="11" t="s">
        <v>453</v>
      </c>
      <c r="H91" s="10" t="n">
        <v>2020</v>
      </c>
      <c r="I91" s="10" t="s">
        <v>454</v>
      </c>
      <c r="J91" s="11" t="s">
        <v>455</v>
      </c>
      <c r="K91" s="10" t="s">
        <v>49</v>
      </c>
      <c r="L91" s="10" t="s">
        <v>456</v>
      </c>
    </row>
    <row r="92" customFormat="false" ht="23.85" hidden="false" customHeight="false" outlineLevel="0" collapsed="false">
      <c r="A92" s="10" t="s">
        <v>457</v>
      </c>
      <c r="B92" s="10" t="s">
        <v>44</v>
      </c>
      <c r="C92" s="10" t="s">
        <v>45</v>
      </c>
      <c r="D92" s="10"/>
      <c r="E92" s="10"/>
      <c r="F92" s="10" t="s">
        <v>44</v>
      </c>
      <c r="G92" s="11" t="s">
        <v>458</v>
      </c>
      <c r="H92" s="10" t="n">
        <v>2022</v>
      </c>
      <c r="I92" s="10" t="s">
        <v>459</v>
      </c>
      <c r="J92" s="11" t="s">
        <v>460</v>
      </c>
      <c r="K92" s="10" t="s">
        <v>49</v>
      </c>
      <c r="L92" s="10" t="s">
        <v>461</v>
      </c>
    </row>
    <row r="93" customFormat="false" ht="23.85" hidden="false" customHeight="false" outlineLevel="0" collapsed="false">
      <c r="A93" s="10" t="s">
        <v>462</v>
      </c>
      <c r="B93" s="10" t="s">
        <v>44</v>
      </c>
      <c r="C93" s="10" t="s">
        <v>45</v>
      </c>
      <c r="D93" s="10"/>
      <c r="E93" s="10"/>
      <c r="F93" s="10" t="s">
        <v>52</v>
      </c>
      <c r="G93" s="11" t="s">
        <v>463</v>
      </c>
      <c r="H93" s="10" t="n">
        <v>2026</v>
      </c>
      <c r="I93" s="10" t="s">
        <v>242</v>
      </c>
      <c r="J93" s="11" t="s">
        <v>464</v>
      </c>
      <c r="K93" s="10" t="s">
        <v>61</v>
      </c>
      <c r="L93" s="10" t="s">
        <v>465</v>
      </c>
    </row>
    <row r="94" customFormat="false" ht="23.85" hidden="false" customHeight="false" outlineLevel="0" collapsed="false">
      <c r="A94" s="10" t="s">
        <v>466</v>
      </c>
      <c r="B94" s="10" t="s">
        <v>44</v>
      </c>
      <c r="C94" s="10" t="s">
        <v>45</v>
      </c>
      <c r="D94" s="10"/>
      <c r="E94" s="10"/>
      <c r="F94" s="10" t="s">
        <v>44</v>
      </c>
      <c r="G94" s="11" t="s">
        <v>467</v>
      </c>
      <c r="H94" s="10" t="n">
        <v>2020</v>
      </c>
      <c r="I94" s="10" t="s">
        <v>468</v>
      </c>
      <c r="J94" s="11" t="s">
        <v>469</v>
      </c>
      <c r="K94" s="10" t="s">
        <v>49</v>
      </c>
      <c r="L94" s="10"/>
    </row>
    <row r="95" customFormat="false" ht="15" hidden="false" customHeight="false" outlineLevel="0" collapsed="false">
      <c r="A95" s="10" t="s">
        <v>470</v>
      </c>
      <c r="B95" s="10" t="s">
        <v>44</v>
      </c>
      <c r="C95" s="10" t="s">
        <v>45</v>
      </c>
      <c r="D95" s="10"/>
      <c r="E95" s="10"/>
      <c r="F95" s="10" t="s">
        <v>44</v>
      </c>
      <c r="G95" s="11" t="s">
        <v>471</v>
      </c>
      <c r="H95" s="10" t="n">
        <v>2025</v>
      </c>
      <c r="I95" s="10" t="s">
        <v>472</v>
      </c>
      <c r="J95" s="11" t="s">
        <v>473</v>
      </c>
      <c r="K95" s="10" t="s">
        <v>61</v>
      </c>
      <c r="L95" s="10" t="s">
        <v>474</v>
      </c>
    </row>
    <row r="96" customFormat="false" ht="15" hidden="false" customHeight="false" outlineLevel="0" collapsed="false">
      <c r="A96" s="10" t="s">
        <v>475</v>
      </c>
      <c r="B96" s="10" t="s">
        <v>44</v>
      </c>
      <c r="C96" s="10" t="s">
        <v>45</v>
      </c>
      <c r="D96" s="10"/>
      <c r="E96" s="10"/>
      <c r="F96" s="10" t="s">
        <v>44</v>
      </c>
      <c r="G96" s="11" t="s">
        <v>476</v>
      </c>
      <c r="H96" s="10" t="n">
        <v>2026</v>
      </c>
      <c r="I96" s="10" t="s">
        <v>477</v>
      </c>
      <c r="J96" s="11" t="s">
        <v>478</v>
      </c>
      <c r="K96" s="10" t="s">
        <v>61</v>
      </c>
      <c r="L96" s="10"/>
    </row>
    <row r="97" customFormat="false" ht="23.85" hidden="false" customHeight="false" outlineLevel="0" collapsed="false">
      <c r="A97" s="10" t="s">
        <v>479</v>
      </c>
      <c r="B97" s="10" t="s">
        <v>44</v>
      </c>
      <c r="C97" s="10" t="s">
        <v>45</v>
      </c>
      <c r="D97" s="10"/>
      <c r="E97" s="10"/>
      <c r="F97" s="10" t="s">
        <v>44</v>
      </c>
      <c r="G97" s="11" t="s">
        <v>480</v>
      </c>
      <c r="H97" s="10" t="n">
        <v>2024</v>
      </c>
      <c r="I97" s="10" t="s">
        <v>481</v>
      </c>
      <c r="J97" s="11" t="s">
        <v>482</v>
      </c>
      <c r="K97" s="10" t="s">
        <v>49</v>
      </c>
      <c r="L97" s="10" t="s">
        <v>483</v>
      </c>
    </row>
    <row r="98" customFormat="false" ht="23.85" hidden="false" customHeight="false" outlineLevel="0" collapsed="false">
      <c r="A98" s="10" t="s">
        <v>484</v>
      </c>
      <c r="B98" s="10" t="s">
        <v>44</v>
      </c>
      <c r="C98" s="10" t="s">
        <v>45</v>
      </c>
      <c r="D98" s="10"/>
      <c r="E98" s="10"/>
      <c r="F98" s="10" t="s">
        <v>52</v>
      </c>
      <c r="G98" s="11" t="s">
        <v>485</v>
      </c>
      <c r="H98" s="10" t="n">
        <v>2024</v>
      </c>
      <c r="I98" s="10" t="s">
        <v>486</v>
      </c>
      <c r="J98" s="11" t="s">
        <v>487</v>
      </c>
      <c r="K98" s="10" t="s">
        <v>49</v>
      </c>
      <c r="L98" s="10" t="s">
        <v>488</v>
      </c>
    </row>
    <row r="99" customFormat="false" ht="23.85" hidden="false" customHeight="false" outlineLevel="0" collapsed="false">
      <c r="A99" s="10" t="s">
        <v>489</v>
      </c>
      <c r="B99" s="10" t="s">
        <v>44</v>
      </c>
      <c r="C99" s="10" t="s">
        <v>45</v>
      </c>
      <c r="D99" s="10"/>
      <c r="E99" s="10"/>
      <c r="F99" s="10" t="s">
        <v>44</v>
      </c>
      <c r="G99" s="11" t="s">
        <v>490</v>
      </c>
      <c r="H99" s="10" t="n">
        <v>2018</v>
      </c>
      <c r="I99" s="10" t="s">
        <v>491</v>
      </c>
      <c r="J99" s="11" t="s">
        <v>492</v>
      </c>
      <c r="K99" s="10" t="s">
        <v>49</v>
      </c>
      <c r="L99" s="10"/>
    </row>
    <row r="100" customFormat="false" ht="23.85" hidden="false" customHeight="false" outlineLevel="0" collapsed="false">
      <c r="A100" s="10" t="s">
        <v>493</v>
      </c>
      <c r="B100" s="10" t="s">
        <v>44</v>
      </c>
      <c r="C100" s="10" t="s">
        <v>45</v>
      </c>
      <c r="D100" s="10"/>
      <c r="E100" s="10"/>
      <c r="F100" s="10" t="s">
        <v>52</v>
      </c>
      <c r="G100" s="11" t="s">
        <v>494</v>
      </c>
      <c r="H100" s="10" t="n">
        <v>2022</v>
      </c>
      <c r="I100" s="10" t="s">
        <v>495</v>
      </c>
      <c r="J100" s="11" t="s">
        <v>496</v>
      </c>
      <c r="K100" s="10" t="s">
        <v>49</v>
      </c>
      <c r="L100" s="10" t="s">
        <v>497</v>
      </c>
    </row>
    <row r="101" customFormat="false" ht="23.85" hidden="false" customHeight="false" outlineLevel="0" collapsed="false">
      <c r="A101" s="10" t="s">
        <v>498</v>
      </c>
      <c r="B101" s="10" t="s">
        <v>44</v>
      </c>
      <c r="C101" s="10" t="s">
        <v>45</v>
      </c>
      <c r="D101" s="10"/>
      <c r="E101" s="10"/>
      <c r="F101" s="10" t="s">
        <v>44</v>
      </c>
      <c r="G101" s="11" t="s">
        <v>499</v>
      </c>
      <c r="H101" s="10" t="n">
        <v>2026</v>
      </c>
      <c r="I101" s="10" t="s">
        <v>500</v>
      </c>
      <c r="J101" s="11" t="s">
        <v>418</v>
      </c>
      <c r="K101" s="10" t="s">
        <v>49</v>
      </c>
      <c r="L101" s="10" t="s">
        <v>501</v>
      </c>
    </row>
    <row r="102" customFormat="false" ht="15" hidden="false" customHeight="false" outlineLevel="0" collapsed="false">
      <c r="A102" s="10" t="s">
        <v>502</v>
      </c>
      <c r="B102" s="10" t="s">
        <v>44</v>
      </c>
      <c r="C102" s="10" t="s">
        <v>45</v>
      </c>
      <c r="D102" s="10"/>
      <c r="E102" s="10"/>
      <c r="F102" s="10" t="s">
        <v>44</v>
      </c>
      <c r="G102" s="11" t="s">
        <v>503</v>
      </c>
      <c r="H102" s="10" t="n">
        <v>2022</v>
      </c>
      <c r="I102" s="10" t="s">
        <v>504</v>
      </c>
      <c r="J102" s="11" t="s">
        <v>505</v>
      </c>
      <c r="K102" s="10" t="s">
        <v>49</v>
      </c>
      <c r="L102" s="10" t="s">
        <v>506</v>
      </c>
    </row>
    <row r="103" customFormat="false" ht="23.85" hidden="false" customHeight="false" outlineLevel="0" collapsed="false">
      <c r="A103" s="10" t="s">
        <v>507</v>
      </c>
      <c r="B103" s="10" t="s">
        <v>44</v>
      </c>
      <c r="C103" s="10" t="s">
        <v>45</v>
      </c>
      <c r="D103" s="10"/>
      <c r="E103" s="10"/>
      <c r="F103" s="10" t="s">
        <v>44</v>
      </c>
      <c r="G103" s="11" t="s">
        <v>508</v>
      </c>
      <c r="H103" s="10" t="n">
        <v>2018</v>
      </c>
      <c r="I103" s="10" t="s">
        <v>509</v>
      </c>
      <c r="J103" s="11" t="s">
        <v>316</v>
      </c>
      <c r="K103" s="10" t="s">
        <v>61</v>
      </c>
      <c r="L103" s="10" t="s">
        <v>510</v>
      </c>
    </row>
    <row r="104" customFormat="false" ht="35.05" hidden="false" customHeight="false" outlineLevel="0" collapsed="false">
      <c r="A104" s="10" t="s">
        <v>511</v>
      </c>
      <c r="B104" s="10" t="s">
        <v>44</v>
      </c>
      <c r="C104" s="10" t="s">
        <v>45</v>
      </c>
      <c r="D104" s="10"/>
      <c r="E104" s="10"/>
      <c r="F104" s="10" t="s">
        <v>44</v>
      </c>
      <c r="G104" s="11" t="s">
        <v>512</v>
      </c>
      <c r="H104" s="10" t="n">
        <v>2025</v>
      </c>
      <c r="I104" s="10" t="s">
        <v>513</v>
      </c>
      <c r="J104" s="11" t="s">
        <v>48</v>
      </c>
      <c r="K104" s="10" t="s">
        <v>49</v>
      </c>
      <c r="L104" s="10" t="s">
        <v>514</v>
      </c>
    </row>
    <row r="105" customFormat="false" ht="23.85" hidden="false" customHeight="false" outlineLevel="0" collapsed="false">
      <c r="A105" s="10" t="s">
        <v>515</v>
      </c>
      <c r="B105" s="10" t="s">
        <v>44</v>
      </c>
      <c r="C105" s="10" t="s">
        <v>45</v>
      </c>
      <c r="D105" s="10"/>
      <c r="E105" s="10"/>
      <c r="F105" s="10" t="s">
        <v>52</v>
      </c>
      <c r="G105" s="11" t="s">
        <v>516</v>
      </c>
      <c r="H105" s="10" t="n">
        <v>2022</v>
      </c>
      <c r="I105" s="10" t="s">
        <v>517</v>
      </c>
      <c r="J105" s="11" t="s">
        <v>518</v>
      </c>
      <c r="K105" s="10" t="s">
        <v>49</v>
      </c>
      <c r="L105" s="10" t="s">
        <v>519</v>
      </c>
    </row>
    <row r="106" customFormat="false" ht="15" hidden="false" customHeight="false" outlineLevel="0" collapsed="false">
      <c r="A106" s="10" t="s">
        <v>520</v>
      </c>
      <c r="B106" s="10" t="s">
        <v>44</v>
      </c>
      <c r="C106" s="10" t="s">
        <v>45</v>
      </c>
      <c r="D106" s="10"/>
      <c r="E106" s="10"/>
      <c r="F106" s="10" t="s">
        <v>44</v>
      </c>
      <c r="G106" s="11" t="s">
        <v>521</v>
      </c>
      <c r="H106" s="10" t="n">
        <v>2026</v>
      </c>
      <c r="I106" s="10" t="s">
        <v>522</v>
      </c>
      <c r="J106" s="11" t="s">
        <v>478</v>
      </c>
      <c r="K106" s="10" t="s">
        <v>61</v>
      </c>
      <c r="L106" s="10"/>
    </row>
    <row r="107" customFormat="false" ht="23.85" hidden="false" customHeight="false" outlineLevel="0" collapsed="false">
      <c r="A107" s="10" t="s">
        <v>523</v>
      </c>
      <c r="B107" s="10" t="s">
        <v>44</v>
      </c>
      <c r="C107" s="10" t="s">
        <v>45</v>
      </c>
      <c r="D107" s="10"/>
      <c r="E107" s="10"/>
      <c r="F107" s="10" t="s">
        <v>44</v>
      </c>
      <c r="G107" s="11" t="s">
        <v>524</v>
      </c>
      <c r="H107" s="10" t="n">
        <v>2025</v>
      </c>
      <c r="I107" s="10" t="s">
        <v>525</v>
      </c>
      <c r="J107" s="11" t="s">
        <v>526</v>
      </c>
      <c r="K107" s="10" t="s">
        <v>61</v>
      </c>
      <c r="L107" s="10" t="s">
        <v>527</v>
      </c>
    </row>
    <row r="108" customFormat="false" ht="23.85" hidden="false" customHeight="false" outlineLevel="0" collapsed="false">
      <c r="A108" s="10" t="s">
        <v>528</v>
      </c>
      <c r="B108" s="10" t="s">
        <v>44</v>
      </c>
      <c r="C108" s="10" t="s">
        <v>45</v>
      </c>
      <c r="D108" s="10"/>
      <c r="E108" s="10"/>
      <c r="F108" s="10" t="s">
        <v>44</v>
      </c>
      <c r="G108" s="11" t="s">
        <v>529</v>
      </c>
      <c r="H108" s="10" t="n">
        <v>2021</v>
      </c>
      <c r="I108" s="10" t="s">
        <v>530</v>
      </c>
      <c r="J108" s="11" t="s">
        <v>531</v>
      </c>
      <c r="K108" s="10" t="s">
        <v>49</v>
      </c>
      <c r="L108" s="10"/>
    </row>
    <row r="109" customFormat="false" ht="15" hidden="false" customHeight="false" outlineLevel="0" collapsed="false">
      <c r="A109" s="10" t="s">
        <v>532</v>
      </c>
      <c r="B109" s="10" t="s">
        <v>44</v>
      </c>
      <c r="C109" s="10" t="s">
        <v>45</v>
      </c>
      <c r="D109" s="10"/>
      <c r="E109" s="10"/>
      <c r="F109" s="10" t="s">
        <v>44</v>
      </c>
      <c r="G109" s="11" t="s">
        <v>533</v>
      </c>
      <c r="H109" s="10" t="n">
        <v>2023</v>
      </c>
      <c r="I109" s="10" t="s">
        <v>534</v>
      </c>
      <c r="J109" s="11" t="s">
        <v>505</v>
      </c>
      <c r="K109" s="10" t="s">
        <v>49</v>
      </c>
      <c r="L109" s="10" t="s">
        <v>535</v>
      </c>
    </row>
    <row r="110" customFormat="false" ht="23.85" hidden="false" customHeight="false" outlineLevel="0" collapsed="false">
      <c r="A110" s="10" t="s">
        <v>536</v>
      </c>
      <c r="B110" s="10" t="s">
        <v>44</v>
      </c>
      <c r="C110" s="10" t="s">
        <v>45</v>
      </c>
      <c r="D110" s="10"/>
      <c r="E110" s="10"/>
      <c r="F110" s="10" t="s">
        <v>44</v>
      </c>
      <c r="G110" s="11" t="s">
        <v>537</v>
      </c>
      <c r="H110" s="10" t="n">
        <v>2023</v>
      </c>
      <c r="I110" s="10" t="s">
        <v>538</v>
      </c>
      <c r="J110" s="11" t="s">
        <v>66</v>
      </c>
      <c r="K110" s="10" t="s">
        <v>49</v>
      </c>
      <c r="L110" s="10"/>
    </row>
    <row r="111" customFormat="false" ht="23.85" hidden="false" customHeight="false" outlineLevel="0" collapsed="false">
      <c r="A111" s="10" t="s">
        <v>539</v>
      </c>
      <c r="B111" s="10" t="s">
        <v>44</v>
      </c>
      <c r="C111" s="10" t="s">
        <v>45</v>
      </c>
      <c r="D111" s="10"/>
      <c r="E111" s="10"/>
      <c r="F111" s="10" t="s">
        <v>44</v>
      </c>
      <c r="G111" s="11" t="s">
        <v>540</v>
      </c>
      <c r="H111" s="10" t="n">
        <v>2024</v>
      </c>
      <c r="I111" s="10" t="s">
        <v>541</v>
      </c>
      <c r="J111" s="11" t="s">
        <v>542</v>
      </c>
      <c r="K111" s="10" t="s">
        <v>61</v>
      </c>
      <c r="L111" s="10" t="s">
        <v>543</v>
      </c>
    </row>
    <row r="112" customFormat="false" ht="23.85" hidden="false" customHeight="false" outlineLevel="0" collapsed="false">
      <c r="A112" s="10" t="s">
        <v>544</v>
      </c>
      <c r="B112" s="10" t="s">
        <v>44</v>
      </c>
      <c r="C112" s="10" t="s">
        <v>45</v>
      </c>
      <c r="D112" s="10"/>
      <c r="E112" s="10"/>
      <c r="F112" s="10" t="s">
        <v>44</v>
      </c>
      <c r="G112" s="11" t="s">
        <v>545</v>
      </c>
      <c r="H112" s="10" t="n">
        <v>2023</v>
      </c>
      <c r="I112" s="10" t="s">
        <v>546</v>
      </c>
      <c r="J112" s="11" t="s">
        <v>70</v>
      </c>
      <c r="K112" s="10" t="s">
        <v>49</v>
      </c>
      <c r="L112" s="10"/>
    </row>
    <row r="113" customFormat="false" ht="15" hidden="false" customHeight="false" outlineLevel="0" collapsed="false">
      <c r="A113" s="10" t="s">
        <v>547</v>
      </c>
      <c r="B113" s="10" t="s">
        <v>44</v>
      </c>
      <c r="C113" s="10" t="s">
        <v>45</v>
      </c>
      <c r="D113" s="10"/>
      <c r="E113" s="10"/>
      <c r="F113" s="10" t="s">
        <v>44</v>
      </c>
      <c r="G113" s="11" t="s">
        <v>548</v>
      </c>
      <c r="H113" s="10" t="n">
        <v>2021</v>
      </c>
      <c r="I113" s="10" t="s">
        <v>549</v>
      </c>
      <c r="J113" s="11" t="s">
        <v>550</v>
      </c>
      <c r="K113" s="10" t="s">
        <v>61</v>
      </c>
      <c r="L113" s="10" t="s">
        <v>551</v>
      </c>
    </row>
    <row r="114" customFormat="false" ht="23.85" hidden="false" customHeight="false" outlineLevel="0" collapsed="false">
      <c r="A114" s="10" t="s">
        <v>552</v>
      </c>
      <c r="B114" s="10" t="s">
        <v>44</v>
      </c>
      <c r="C114" s="10" t="s">
        <v>45</v>
      </c>
      <c r="D114" s="10"/>
      <c r="E114" s="10"/>
      <c r="F114" s="10" t="s">
        <v>44</v>
      </c>
      <c r="G114" s="11" t="s">
        <v>553</v>
      </c>
      <c r="H114" s="10" t="n">
        <v>2019</v>
      </c>
      <c r="I114" s="10" t="s">
        <v>554</v>
      </c>
      <c r="J114" s="11" t="s">
        <v>555</v>
      </c>
      <c r="K114" s="10" t="s">
        <v>61</v>
      </c>
      <c r="L114" s="10" t="s">
        <v>556</v>
      </c>
    </row>
    <row r="115" customFormat="false" ht="15" hidden="false" customHeight="false" outlineLevel="0" collapsed="false">
      <c r="A115" s="10" t="s">
        <v>557</v>
      </c>
      <c r="B115" s="10" t="s">
        <v>44</v>
      </c>
      <c r="C115" s="10" t="s">
        <v>45</v>
      </c>
      <c r="D115" s="10"/>
      <c r="E115" s="10"/>
      <c r="F115" s="10" t="s">
        <v>52</v>
      </c>
      <c r="G115" s="11" t="s">
        <v>558</v>
      </c>
      <c r="H115" s="10" t="n">
        <v>2023</v>
      </c>
      <c r="I115" s="10" t="s">
        <v>559</v>
      </c>
      <c r="J115" s="11" t="s">
        <v>560</v>
      </c>
      <c r="K115" s="10" t="s">
        <v>61</v>
      </c>
      <c r="L115" s="10" t="s">
        <v>561</v>
      </c>
    </row>
    <row r="116" customFormat="false" ht="35.05" hidden="false" customHeight="false" outlineLevel="0" collapsed="false">
      <c r="A116" s="10" t="s">
        <v>562</v>
      </c>
      <c r="B116" s="10" t="s">
        <v>44</v>
      </c>
      <c r="C116" s="10" t="s">
        <v>45</v>
      </c>
      <c r="D116" s="10"/>
      <c r="E116" s="10"/>
      <c r="F116" s="10" t="s">
        <v>52</v>
      </c>
      <c r="G116" s="11" t="s">
        <v>563</v>
      </c>
      <c r="H116" s="10" t="n">
        <v>2025</v>
      </c>
      <c r="I116" s="10" t="s">
        <v>564</v>
      </c>
      <c r="J116" s="11" t="s">
        <v>565</v>
      </c>
      <c r="K116" s="10" t="s">
        <v>49</v>
      </c>
      <c r="L116" s="10" t="s">
        <v>566</v>
      </c>
    </row>
    <row r="117" customFormat="false" ht="23.85" hidden="false" customHeight="false" outlineLevel="0" collapsed="false">
      <c r="A117" s="10" t="s">
        <v>567</v>
      </c>
      <c r="B117" s="10" t="s">
        <v>44</v>
      </c>
      <c r="C117" s="10" t="s">
        <v>45</v>
      </c>
      <c r="D117" s="10"/>
      <c r="E117" s="10"/>
      <c r="F117" s="10" t="s">
        <v>44</v>
      </c>
      <c r="G117" s="11" t="s">
        <v>568</v>
      </c>
      <c r="H117" s="10" t="n">
        <v>2019</v>
      </c>
      <c r="I117" s="10" t="s">
        <v>569</v>
      </c>
      <c r="J117" s="11" t="s">
        <v>570</v>
      </c>
      <c r="K117" s="10" t="s">
        <v>61</v>
      </c>
      <c r="L117" s="10" t="s">
        <v>571</v>
      </c>
    </row>
    <row r="118" customFormat="false" ht="35.05" hidden="false" customHeight="false" outlineLevel="0" collapsed="false">
      <c r="A118" s="10" t="s">
        <v>572</v>
      </c>
      <c r="B118" s="10" t="s">
        <v>44</v>
      </c>
      <c r="C118" s="10" t="s">
        <v>45</v>
      </c>
      <c r="D118" s="10"/>
      <c r="E118" s="10"/>
      <c r="F118" s="10" t="s">
        <v>44</v>
      </c>
      <c r="G118" s="11" t="s">
        <v>573</v>
      </c>
      <c r="H118" s="10" t="n">
        <v>2022</v>
      </c>
      <c r="I118" s="10" t="s">
        <v>574</v>
      </c>
      <c r="J118" s="11" t="s">
        <v>575</v>
      </c>
      <c r="K118" s="10" t="s">
        <v>49</v>
      </c>
      <c r="L118" s="10" t="s">
        <v>576</v>
      </c>
    </row>
    <row r="119" customFormat="false" ht="23.85" hidden="false" customHeight="false" outlineLevel="0" collapsed="false">
      <c r="A119" s="10" t="s">
        <v>577</v>
      </c>
      <c r="B119" s="10" t="s">
        <v>44</v>
      </c>
      <c r="C119" s="10" t="s">
        <v>45</v>
      </c>
      <c r="D119" s="10"/>
      <c r="E119" s="10"/>
      <c r="F119" s="10" t="s">
        <v>44</v>
      </c>
      <c r="G119" s="11" t="s">
        <v>578</v>
      </c>
      <c r="H119" s="10" t="n">
        <v>2021</v>
      </c>
      <c r="I119" s="10" t="s">
        <v>579</v>
      </c>
      <c r="J119" s="11" t="s">
        <v>580</v>
      </c>
      <c r="K119" s="10" t="s">
        <v>61</v>
      </c>
      <c r="L119" s="10" t="s">
        <v>581</v>
      </c>
    </row>
    <row r="120" customFormat="false" ht="35.05" hidden="false" customHeight="false" outlineLevel="0" collapsed="false">
      <c r="A120" s="10" t="s">
        <v>582</v>
      </c>
      <c r="B120" s="10" t="s">
        <v>44</v>
      </c>
      <c r="C120" s="10" t="s">
        <v>45</v>
      </c>
      <c r="D120" s="10"/>
      <c r="E120" s="10"/>
      <c r="F120" s="10" t="s">
        <v>52</v>
      </c>
      <c r="G120" s="11" t="s">
        <v>583</v>
      </c>
      <c r="H120" s="10" t="n">
        <v>2020</v>
      </c>
      <c r="I120" s="10" t="s">
        <v>584</v>
      </c>
      <c r="J120" s="11" t="s">
        <v>585</v>
      </c>
      <c r="K120" s="10" t="s">
        <v>49</v>
      </c>
      <c r="L120" s="10" t="s">
        <v>586</v>
      </c>
    </row>
    <row r="121" customFormat="false" ht="23.85" hidden="false" customHeight="false" outlineLevel="0" collapsed="false">
      <c r="A121" s="10" t="s">
        <v>587</v>
      </c>
      <c r="B121" s="10" t="s">
        <v>44</v>
      </c>
      <c r="C121" s="10" t="s">
        <v>45</v>
      </c>
      <c r="D121" s="10"/>
      <c r="E121" s="10"/>
      <c r="F121" s="10" t="s">
        <v>44</v>
      </c>
      <c r="G121" s="11" t="s">
        <v>588</v>
      </c>
      <c r="H121" s="10" t="n">
        <v>2024</v>
      </c>
      <c r="I121" s="10" t="s">
        <v>589</v>
      </c>
      <c r="J121" s="11" t="s">
        <v>70</v>
      </c>
      <c r="K121" s="10" t="s">
        <v>49</v>
      </c>
      <c r="L121" s="10"/>
    </row>
    <row r="122" customFormat="false" ht="15" hidden="false" customHeight="false" outlineLevel="0" collapsed="false">
      <c r="A122" s="10" t="s">
        <v>590</v>
      </c>
      <c r="B122" s="10" t="s">
        <v>44</v>
      </c>
      <c r="C122" s="10" t="s">
        <v>45</v>
      </c>
      <c r="D122" s="10"/>
      <c r="E122" s="10"/>
      <c r="F122" s="10" t="s">
        <v>44</v>
      </c>
      <c r="G122" s="11" t="s">
        <v>591</v>
      </c>
      <c r="H122" s="10" t="n">
        <v>2024</v>
      </c>
      <c r="I122" s="10" t="s">
        <v>592</v>
      </c>
      <c r="J122" s="11" t="s">
        <v>593</v>
      </c>
      <c r="K122" s="10" t="s">
        <v>61</v>
      </c>
      <c r="L122" s="10" t="s">
        <v>594</v>
      </c>
    </row>
    <row r="123" customFormat="false" ht="23.85" hidden="false" customHeight="false" outlineLevel="0" collapsed="false">
      <c r="A123" s="10" t="s">
        <v>595</v>
      </c>
      <c r="B123" s="10" t="s">
        <v>44</v>
      </c>
      <c r="C123" s="10" t="s">
        <v>45</v>
      </c>
      <c r="D123" s="10"/>
      <c r="E123" s="10"/>
      <c r="F123" s="10" t="s">
        <v>44</v>
      </c>
      <c r="G123" s="11" t="s">
        <v>596</v>
      </c>
      <c r="H123" s="10" t="n">
        <v>2025</v>
      </c>
      <c r="I123" s="10" t="s">
        <v>597</v>
      </c>
      <c r="J123" s="11" t="s">
        <v>598</v>
      </c>
      <c r="K123" s="10" t="s">
        <v>61</v>
      </c>
      <c r="L123" s="10" t="s">
        <v>599</v>
      </c>
    </row>
    <row r="124" customFormat="false" ht="35.05" hidden="false" customHeight="false" outlineLevel="0" collapsed="false">
      <c r="A124" s="10" t="s">
        <v>600</v>
      </c>
      <c r="B124" s="10" t="s">
        <v>44</v>
      </c>
      <c r="C124" s="10" t="s">
        <v>45</v>
      </c>
      <c r="D124" s="10"/>
      <c r="E124" s="10"/>
      <c r="F124" s="10" t="s">
        <v>52</v>
      </c>
      <c r="G124" s="11" t="s">
        <v>601</v>
      </c>
      <c r="H124" s="10" t="n">
        <v>2019</v>
      </c>
      <c r="I124" s="10" t="s">
        <v>602</v>
      </c>
      <c r="J124" s="11" t="s">
        <v>603</v>
      </c>
      <c r="K124" s="10" t="s">
        <v>49</v>
      </c>
      <c r="L124" s="10" t="s">
        <v>604</v>
      </c>
    </row>
    <row r="125" customFormat="false" ht="23.85" hidden="false" customHeight="false" outlineLevel="0" collapsed="false">
      <c r="A125" s="10" t="s">
        <v>605</v>
      </c>
      <c r="B125" s="10" t="s">
        <v>44</v>
      </c>
      <c r="C125" s="10" t="s">
        <v>45</v>
      </c>
      <c r="D125" s="10"/>
      <c r="E125" s="10"/>
      <c r="F125" s="10" t="s">
        <v>44</v>
      </c>
      <c r="G125" s="11" t="s">
        <v>606</v>
      </c>
      <c r="H125" s="10" t="n">
        <v>2023</v>
      </c>
      <c r="I125" s="10" t="s">
        <v>607</v>
      </c>
      <c r="J125" s="11" t="s">
        <v>608</v>
      </c>
      <c r="K125" s="10" t="s">
        <v>49</v>
      </c>
      <c r="L125" s="10"/>
    </row>
    <row r="126" customFormat="false" ht="23.85" hidden="false" customHeight="false" outlineLevel="0" collapsed="false">
      <c r="A126" s="10" t="s">
        <v>609</v>
      </c>
      <c r="B126" s="10" t="s">
        <v>44</v>
      </c>
      <c r="C126" s="10" t="s">
        <v>45</v>
      </c>
      <c r="D126" s="10"/>
      <c r="E126" s="10"/>
      <c r="F126" s="10" t="s">
        <v>52</v>
      </c>
      <c r="G126" s="11" t="s">
        <v>610</v>
      </c>
      <c r="H126" s="10" t="n">
        <v>2022</v>
      </c>
      <c r="I126" s="10" t="s">
        <v>232</v>
      </c>
      <c r="J126" s="11" t="s">
        <v>611</v>
      </c>
      <c r="K126" s="10" t="s">
        <v>49</v>
      </c>
      <c r="L126" s="10" t="s">
        <v>612</v>
      </c>
    </row>
    <row r="127" customFormat="false" ht="15" hidden="false" customHeight="false" outlineLevel="0" collapsed="false">
      <c r="A127" s="10" t="s">
        <v>613</v>
      </c>
      <c r="B127" s="10" t="s">
        <v>44</v>
      </c>
      <c r="C127" s="10" t="s">
        <v>45</v>
      </c>
      <c r="D127" s="10"/>
      <c r="E127" s="10"/>
      <c r="F127" s="10" t="s">
        <v>44</v>
      </c>
      <c r="G127" s="11" t="s">
        <v>614</v>
      </c>
      <c r="H127" s="10" t="n">
        <v>2021</v>
      </c>
      <c r="I127" s="10" t="s">
        <v>615</v>
      </c>
      <c r="J127" s="11" t="s">
        <v>616</v>
      </c>
      <c r="K127" s="10" t="s">
        <v>61</v>
      </c>
      <c r="L127" s="10" t="s">
        <v>617</v>
      </c>
    </row>
    <row r="128" customFormat="false" ht="23.85" hidden="false" customHeight="false" outlineLevel="0" collapsed="false">
      <c r="A128" s="10" t="s">
        <v>618</v>
      </c>
      <c r="B128" s="10" t="s">
        <v>44</v>
      </c>
      <c r="C128" s="10" t="s">
        <v>45</v>
      </c>
      <c r="D128" s="10"/>
      <c r="E128" s="10"/>
      <c r="F128" s="10" t="s">
        <v>44</v>
      </c>
      <c r="G128" s="11" t="s">
        <v>619</v>
      </c>
      <c r="H128" s="10" t="n">
        <v>2026</v>
      </c>
      <c r="I128" s="10" t="s">
        <v>620</v>
      </c>
      <c r="J128" s="11" t="s">
        <v>621</v>
      </c>
      <c r="K128" s="10" t="s">
        <v>61</v>
      </c>
      <c r="L128" s="10" t="s">
        <v>622</v>
      </c>
    </row>
    <row r="129" customFormat="false" ht="23.85" hidden="false" customHeight="false" outlineLevel="0" collapsed="false">
      <c r="A129" s="10" t="s">
        <v>623</v>
      </c>
      <c r="B129" s="10" t="s">
        <v>44</v>
      </c>
      <c r="C129" s="10" t="s">
        <v>45</v>
      </c>
      <c r="D129" s="10"/>
      <c r="E129" s="10"/>
      <c r="F129" s="10" t="s">
        <v>44</v>
      </c>
      <c r="G129" s="11" t="s">
        <v>624</v>
      </c>
      <c r="H129" s="10" t="n">
        <v>2020</v>
      </c>
      <c r="I129" s="10" t="s">
        <v>546</v>
      </c>
      <c r="J129" s="11" t="s">
        <v>616</v>
      </c>
      <c r="K129" s="10" t="s">
        <v>61</v>
      </c>
      <c r="L129" s="10" t="s">
        <v>625</v>
      </c>
    </row>
    <row r="130" customFormat="false" ht="35.05" hidden="false" customHeight="false" outlineLevel="0" collapsed="false">
      <c r="A130" s="10" t="s">
        <v>626</v>
      </c>
      <c r="B130" s="10" t="s">
        <v>44</v>
      </c>
      <c r="C130" s="10" t="s">
        <v>45</v>
      </c>
      <c r="D130" s="10"/>
      <c r="E130" s="10"/>
      <c r="F130" s="10" t="s">
        <v>170</v>
      </c>
      <c r="G130" s="11" t="s">
        <v>627</v>
      </c>
      <c r="H130" s="10" t="n">
        <v>2023</v>
      </c>
      <c r="I130" s="10" t="s">
        <v>628</v>
      </c>
      <c r="J130" s="11" t="s">
        <v>410</v>
      </c>
      <c r="K130" s="10" t="s">
        <v>49</v>
      </c>
      <c r="L130" s="10"/>
    </row>
    <row r="131" customFormat="false" ht="15" hidden="false" customHeight="false" outlineLevel="0" collapsed="false">
      <c r="A131" s="10" t="s">
        <v>629</v>
      </c>
      <c r="B131" s="10" t="s">
        <v>44</v>
      </c>
      <c r="C131" s="10" t="s">
        <v>45</v>
      </c>
      <c r="D131" s="10"/>
      <c r="E131" s="10"/>
      <c r="F131" s="10" t="s">
        <v>44</v>
      </c>
      <c r="G131" s="11" t="s">
        <v>630</v>
      </c>
      <c r="H131" s="10" t="n">
        <v>2021</v>
      </c>
      <c r="I131" s="10" t="s">
        <v>631</v>
      </c>
      <c r="J131" s="11" t="s">
        <v>632</v>
      </c>
      <c r="K131" s="10" t="s">
        <v>61</v>
      </c>
      <c r="L131" s="10" t="s">
        <v>633</v>
      </c>
    </row>
    <row r="132" customFormat="false" ht="23.85" hidden="false" customHeight="false" outlineLevel="0" collapsed="false">
      <c r="A132" s="10" t="s">
        <v>634</v>
      </c>
      <c r="B132" s="10" t="s">
        <v>44</v>
      </c>
      <c r="C132" s="10" t="s">
        <v>45</v>
      </c>
      <c r="D132" s="10"/>
      <c r="E132" s="10"/>
      <c r="F132" s="10" t="s">
        <v>170</v>
      </c>
      <c r="G132" s="11" t="s">
        <v>635</v>
      </c>
      <c r="H132" s="10" t="n">
        <v>2026</v>
      </c>
      <c r="I132" s="10" t="s">
        <v>384</v>
      </c>
      <c r="J132" s="11" t="s">
        <v>636</v>
      </c>
      <c r="K132" s="10" t="s">
        <v>49</v>
      </c>
      <c r="L132" s="10" t="s">
        <v>637</v>
      </c>
    </row>
    <row r="133" customFormat="false" ht="23.85" hidden="false" customHeight="false" outlineLevel="0" collapsed="false">
      <c r="A133" s="10" t="s">
        <v>638</v>
      </c>
      <c r="B133" s="10" t="s">
        <v>44</v>
      </c>
      <c r="C133" s="10" t="s">
        <v>45</v>
      </c>
      <c r="D133" s="10"/>
      <c r="E133" s="10"/>
      <c r="F133" s="10" t="s">
        <v>44</v>
      </c>
      <c r="G133" s="11" t="s">
        <v>639</v>
      </c>
      <c r="H133" s="10" t="n">
        <v>2019</v>
      </c>
      <c r="I133" s="10" t="s">
        <v>640</v>
      </c>
      <c r="J133" s="11" t="s">
        <v>641</v>
      </c>
      <c r="K133" s="10" t="s">
        <v>49</v>
      </c>
      <c r="L133" s="10"/>
    </row>
    <row r="134" customFormat="false" ht="23.85" hidden="false" customHeight="false" outlineLevel="0" collapsed="false">
      <c r="A134" s="10" t="s">
        <v>642</v>
      </c>
      <c r="B134" s="10" t="s">
        <v>44</v>
      </c>
      <c r="C134" s="10" t="s">
        <v>45</v>
      </c>
      <c r="D134" s="10"/>
      <c r="E134" s="10"/>
      <c r="F134" s="10" t="s">
        <v>44</v>
      </c>
      <c r="G134" s="11" t="s">
        <v>643</v>
      </c>
      <c r="H134" s="10" t="n">
        <v>2022</v>
      </c>
      <c r="I134" s="10" t="s">
        <v>644</v>
      </c>
      <c r="J134" s="11" t="s">
        <v>645</v>
      </c>
      <c r="K134" s="10" t="s">
        <v>49</v>
      </c>
      <c r="L134" s="10"/>
    </row>
    <row r="135" customFormat="false" ht="23.85" hidden="false" customHeight="false" outlineLevel="0" collapsed="false">
      <c r="A135" s="10" t="s">
        <v>646</v>
      </c>
      <c r="B135" s="10" t="s">
        <v>44</v>
      </c>
      <c r="C135" s="10" t="s">
        <v>45</v>
      </c>
      <c r="D135" s="10"/>
      <c r="E135" s="10"/>
      <c r="F135" s="10" t="s">
        <v>44</v>
      </c>
      <c r="G135" s="11" t="s">
        <v>647</v>
      </c>
      <c r="H135" s="10" t="n">
        <v>2021</v>
      </c>
      <c r="I135" s="10" t="s">
        <v>648</v>
      </c>
      <c r="J135" s="11" t="s">
        <v>649</v>
      </c>
      <c r="K135" s="10" t="s">
        <v>61</v>
      </c>
      <c r="L135" s="10" t="s">
        <v>650</v>
      </c>
    </row>
    <row r="136" customFormat="false" ht="15" hidden="false" customHeight="false" outlineLevel="0" collapsed="false">
      <c r="A136" s="10" t="s">
        <v>651</v>
      </c>
      <c r="B136" s="10" t="s">
        <v>44</v>
      </c>
      <c r="C136" s="10" t="s">
        <v>45</v>
      </c>
      <c r="D136" s="10"/>
      <c r="E136" s="10"/>
      <c r="F136" s="10" t="s">
        <v>44</v>
      </c>
      <c r="G136" s="11" t="s">
        <v>652</v>
      </c>
      <c r="H136" s="10" t="n">
        <v>2023</v>
      </c>
      <c r="I136" s="10" t="s">
        <v>653</v>
      </c>
      <c r="J136" s="11" t="s">
        <v>321</v>
      </c>
      <c r="K136" s="10" t="s">
        <v>49</v>
      </c>
      <c r="L136" s="10" t="s">
        <v>654</v>
      </c>
    </row>
    <row r="137" customFormat="false" ht="23.85" hidden="false" customHeight="false" outlineLevel="0" collapsed="false">
      <c r="A137" s="10" t="s">
        <v>655</v>
      </c>
      <c r="B137" s="10" t="s">
        <v>44</v>
      </c>
      <c r="C137" s="10" t="s">
        <v>45</v>
      </c>
      <c r="D137" s="10"/>
      <c r="E137" s="10"/>
      <c r="F137" s="10" t="s">
        <v>44</v>
      </c>
      <c r="G137" s="11" t="s">
        <v>656</v>
      </c>
      <c r="H137" s="10" t="n">
        <v>2019</v>
      </c>
      <c r="I137" s="10" t="s">
        <v>657</v>
      </c>
      <c r="J137" s="11" t="s">
        <v>658</v>
      </c>
      <c r="K137" s="10" t="s">
        <v>61</v>
      </c>
      <c r="L137" s="10" t="s">
        <v>659</v>
      </c>
    </row>
    <row r="138" customFormat="false" ht="23.85" hidden="false" customHeight="false" outlineLevel="0" collapsed="false">
      <c r="A138" s="10" t="s">
        <v>660</v>
      </c>
      <c r="B138" s="10" t="s">
        <v>44</v>
      </c>
      <c r="C138" s="10" t="s">
        <v>45</v>
      </c>
      <c r="D138" s="10"/>
      <c r="E138" s="10"/>
      <c r="F138" s="10" t="s">
        <v>52</v>
      </c>
      <c r="G138" s="11" t="s">
        <v>661</v>
      </c>
      <c r="H138" s="10" t="n">
        <v>2018</v>
      </c>
      <c r="I138" s="10" t="s">
        <v>662</v>
      </c>
      <c r="J138" s="11" t="s">
        <v>663</v>
      </c>
      <c r="K138" s="10" t="s">
        <v>61</v>
      </c>
      <c r="L138" s="10" t="s">
        <v>664</v>
      </c>
    </row>
    <row r="139" customFormat="false" ht="23.85" hidden="false" customHeight="false" outlineLevel="0" collapsed="false">
      <c r="A139" s="10" t="s">
        <v>665</v>
      </c>
      <c r="B139" s="10" t="s">
        <v>44</v>
      </c>
      <c r="C139" s="10" t="s">
        <v>45</v>
      </c>
      <c r="D139" s="10"/>
      <c r="E139" s="10"/>
      <c r="F139" s="10" t="s">
        <v>44</v>
      </c>
      <c r="G139" s="11" t="s">
        <v>666</v>
      </c>
      <c r="H139" s="10" t="n">
        <v>2020</v>
      </c>
      <c r="I139" s="10" t="s">
        <v>667</v>
      </c>
      <c r="J139" s="11" t="s">
        <v>469</v>
      </c>
      <c r="K139" s="10" t="s">
        <v>49</v>
      </c>
      <c r="L139" s="10"/>
    </row>
    <row r="140" customFormat="false" ht="23.85" hidden="false" customHeight="false" outlineLevel="0" collapsed="false">
      <c r="A140" s="10" t="s">
        <v>668</v>
      </c>
      <c r="B140" s="10" t="s">
        <v>44</v>
      </c>
      <c r="C140" s="10" t="s">
        <v>45</v>
      </c>
      <c r="D140" s="10"/>
      <c r="E140" s="10"/>
      <c r="F140" s="10" t="s">
        <v>44</v>
      </c>
      <c r="G140" s="11" t="s">
        <v>669</v>
      </c>
      <c r="H140" s="10" t="n">
        <v>2024</v>
      </c>
      <c r="I140" s="10" t="s">
        <v>670</v>
      </c>
      <c r="J140" s="11" t="s">
        <v>671</v>
      </c>
      <c r="K140" s="10" t="s">
        <v>61</v>
      </c>
      <c r="L140" s="10" t="s">
        <v>672</v>
      </c>
    </row>
    <row r="141" customFormat="false" ht="23.85" hidden="false" customHeight="false" outlineLevel="0" collapsed="false">
      <c r="A141" s="10" t="s">
        <v>673</v>
      </c>
      <c r="B141" s="10" t="s">
        <v>44</v>
      </c>
      <c r="C141" s="10" t="s">
        <v>45</v>
      </c>
      <c r="D141" s="10"/>
      <c r="E141" s="10"/>
      <c r="F141" s="10" t="s">
        <v>44</v>
      </c>
      <c r="G141" s="11" t="s">
        <v>674</v>
      </c>
      <c r="H141" s="10" t="n">
        <v>2023</v>
      </c>
      <c r="I141" s="10" t="s">
        <v>675</v>
      </c>
      <c r="J141" s="11" t="s">
        <v>676</v>
      </c>
      <c r="K141" s="10" t="s">
        <v>61</v>
      </c>
      <c r="L141" s="10" t="s">
        <v>677</v>
      </c>
    </row>
    <row r="142" customFormat="false" ht="23.85" hidden="false" customHeight="false" outlineLevel="0" collapsed="false">
      <c r="A142" s="10" t="s">
        <v>678</v>
      </c>
      <c r="B142" s="10" t="s">
        <v>44</v>
      </c>
      <c r="C142" s="10" t="s">
        <v>45</v>
      </c>
      <c r="D142" s="10"/>
      <c r="E142" s="10"/>
      <c r="F142" s="10" t="s">
        <v>44</v>
      </c>
      <c r="G142" s="11" t="s">
        <v>679</v>
      </c>
      <c r="H142" s="10" t="n">
        <v>2025</v>
      </c>
      <c r="I142" s="10" t="s">
        <v>680</v>
      </c>
      <c r="J142" s="11" t="s">
        <v>460</v>
      </c>
      <c r="K142" s="10" t="s">
        <v>49</v>
      </c>
      <c r="L142" s="10" t="s">
        <v>681</v>
      </c>
    </row>
    <row r="143" customFormat="false" ht="23.85" hidden="false" customHeight="false" outlineLevel="0" collapsed="false">
      <c r="A143" s="10" t="s">
        <v>682</v>
      </c>
      <c r="B143" s="10" t="s">
        <v>44</v>
      </c>
      <c r="C143" s="10" t="s">
        <v>45</v>
      </c>
      <c r="D143" s="10"/>
      <c r="E143" s="10"/>
      <c r="F143" s="10" t="s">
        <v>52</v>
      </c>
      <c r="G143" s="11" t="s">
        <v>683</v>
      </c>
      <c r="H143" s="10" t="n">
        <v>2020</v>
      </c>
      <c r="I143" s="10" t="s">
        <v>684</v>
      </c>
      <c r="J143" s="11" t="s">
        <v>685</v>
      </c>
      <c r="K143" s="10" t="s">
        <v>49</v>
      </c>
      <c r="L143" s="10" t="s">
        <v>686</v>
      </c>
    </row>
    <row r="144" customFormat="false" ht="23.85" hidden="false" customHeight="false" outlineLevel="0" collapsed="false">
      <c r="A144" s="10" t="s">
        <v>687</v>
      </c>
      <c r="B144" s="10" t="s">
        <v>44</v>
      </c>
      <c r="C144" s="10" t="s">
        <v>45</v>
      </c>
      <c r="D144" s="10"/>
      <c r="E144" s="10"/>
      <c r="F144" s="10" t="s">
        <v>44</v>
      </c>
      <c r="G144" s="11" t="s">
        <v>688</v>
      </c>
      <c r="H144" s="10" t="n">
        <v>2020</v>
      </c>
      <c r="I144" s="10" t="s">
        <v>689</v>
      </c>
      <c r="J144" s="11" t="s">
        <v>70</v>
      </c>
      <c r="K144" s="10" t="s">
        <v>49</v>
      </c>
      <c r="L144" s="10"/>
    </row>
    <row r="145" customFormat="false" ht="23.85" hidden="false" customHeight="false" outlineLevel="0" collapsed="false">
      <c r="A145" s="10" t="s">
        <v>690</v>
      </c>
      <c r="B145" s="10" t="s">
        <v>44</v>
      </c>
      <c r="C145" s="10" t="s">
        <v>45</v>
      </c>
      <c r="D145" s="10"/>
      <c r="E145" s="10"/>
      <c r="F145" s="10" t="s">
        <v>44</v>
      </c>
      <c r="G145" s="11" t="s">
        <v>691</v>
      </c>
      <c r="H145" s="10" t="n">
        <v>2019</v>
      </c>
      <c r="I145" s="10" t="s">
        <v>692</v>
      </c>
      <c r="J145" s="11" t="s">
        <v>693</v>
      </c>
      <c r="K145" s="10" t="s">
        <v>61</v>
      </c>
      <c r="L145" s="10" t="s">
        <v>694</v>
      </c>
    </row>
    <row r="146" customFormat="false" ht="35.05" hidden="false" customHeight="false" outlineLevel="0" collapsed="false">
      <c r="A146" s="10" t="s">
        <v>695</v>
      </c>
      <c r="B146" s="10" t="s">
        <v>44</v>
      </c>
      <c r="C146" s="10" t="s">
        <v>45</v>
      </c>
      <c r="D146" s="10"/>
      <c r="E146" s="10"/>
      <c r="F146" s="10" t="s">
        <v>44</v>
      </c>
      <c r="G146" s="11" t="s">
        <v>696</v>
      </c>
      <c r="H146" s="10" t="n">
        <v>2025</v>
      </c>
      <c r="I146" s="10" t="s">
        <v>697</v>
      </c>
      <c r="J146" s="11" t="s">
        <v>48</v>
      </c>
      <c r="K146" s="10" t="s">
        <v>49</v>
      </c>
      <c r="L146" s="10" t="s">
        <v>698</v>
      </c>
    </row>
    <row r="147" customFormat="false" ht="15" hidden="false" customHeight="false" outlineLevel="0" collapsed="false">
      <c r="A147" s="10" t="s">
        <v>699</v>
      </c>
      <c r="B147" s="10" t="s">
        <v>44</v>
      </c>
      <c r="C147" s="10" t="s">
        <v>45</v>
      </c>
      <c r="D147" s="10"/>
      <c r="E147" s="10"/>
      <c r="F147" s="10" t="s">
        <v>44</v>
      </c>
      <c r="G147" s="11" t="s">
        <v>700</v>
      </c>
      <c r="H147" s="10" t="n">
        <v>2023</v>
      </c>
      <c r="I147" s="10" t="s">
        <v>701</v>
      </c>
      <c r="J147" s="11" t="s">
        <v>702</v>
      </c>
      <c r="K147" s="10" t="s">
        <v>49</v>
      </c>
      <c r="L147" s="10"/>
    </row>
    <row r="148" customFormat="false" ht="23.85" hidden="false" customHeight="false" outlineLevel="0" collapsed="false">
      <c r="A148" s="10" t="s">
        <v>703</v>
      </c>
      <c r="B148" s="10" t="s">
        <v>44</v>
      </c>
      <c r="C148" s="10" t="s">
        <v>45</v>
      </c>
      <c r="D148" s="10"/>
      <c r="E148" s="10"/>
      <c r="F148" s="10" t="s">
        <v>44</v>
      </c>
      <c r="G148" s="11" t="s">
        <v>704</v>
      </c>
      <c r="H148" s="10" t="n">
        <v>2025</v>
      </c>
      <c r="I148" s="10" t="s">
        <v>705</v>
      </c>
      <c r="J148" s="11" t="s">
        <v>273</v>
      </c>
      <c r="K148" s="10" t="s">
        <v>49</v>
      </c>
      <c r="L148" s="10"/>
    </row>
    <row r="149" customFormat="false" ht="35.05" hidden="false" customHeight="false" outlineLevel="0" collapsed="false">
      <c r="A149" s="10" t="s">
        <v>706</v>
      </c>
      <c r="B149" s="10" t="s">
        <v>44</v>
      </c>
      <c r="C149" s="10" t="s">
        <v>45</v>
      </c>
      <c r="D149" s="10"/>
      <c r="E149" s="10"/>
      <c r="F149" s="10" t="s">
        <v>52</v>
      </c>
      <c r="G149" s="11" t="s">
        <v>707</v>
      </c>
      <c r="H149" s="10" t="n">
        <v>2024</v>
      </c>
      <c r="I149" s="10" t="s">
        <v>708</v>
      </c>
      <c r="J149" s="11" t="s">
        <v>709</v>
      </c>
      <c r="K149" s="10" t="s">
        <v>49</v>
      </c>
      <c r="L149" s="10" t="s">
        <v>710</v>
      </c>
    </row>
    <row r="150" customFormat="false" ht="46.25" hidden="false" customHeight="false" outlineLevel="0" collapsed="false">
      <c r="A150" s="10" t="s">
        <v>711</v>
      </c>
      <c r="B150" s="10" t="s">
        <v>44</v>
      </c>
      <c r="C150" s="10" t="s">
        <v>45</v>
      </c>
      <c r="D150" s="10"/>
      <c r="E150" s="10"/>
      <c r="F150" s="10" t="s">
        <v>44</v>
      </c>
      <c r="G150" s="11" t="s">
        <v>712</v>
      </c>
      <c r="H150" s="10" t="n">
        <v>2024</v>
      </c>
      <c r="I150" s="10" t="s">
        <v>713</v>
      </c>
      <c r="J150" s="11" t="s">
        <v>714</v>
      </c>
      <c r="K150" s="10" t="s">
        <v>49</v>
      </c>
      <c r="L150" s="10"/>
    </row>
    <row r="151" customFormat="false" ht="23.85" hidden="false" customHeight="false" outlineLevel="0" collapsed="false">
      <c r="A151" s="10" t="s">
        <v>715</v>
      </c>
      <c r="B151" s="10" t="s">
        <v>44</v>
      </c>
      <c r="C151" s="10" t="s">
        <v>45</v>
      </c>
      <c r="D151" s="10"/>
      <c r="E151" s="10"/>
      <c r="F151" s="10" t="s">
        <v>44</v>
      </c>
      <c r="G151" s="11" t="s">
        <v>716</v>
      </c>
      <c r="H151" s="10" t="n">
        <v>2025</v>
      </c>
      <c r="I151" s="10" t="s">
        <v>717</v>
      </c>
      <c r="J151" s="11" t="s">
        <v>418</v>
      </c>
      <c r="K151" s="10" t="s">
        <v>49</v>
      </c>
      <c r="L151" s="10" t="s">
        <v>718</v>
      </c>
    </row>
    <row r="152" customFormat="false" ht="23.85" hidden="false" customHeight="false" outlineLevel="0" collapsed="false">
      <c r="A152" s="10" t="s">
        <v>719</v>
      </c>
      <c r="B152" s="10" t="s">
        <v>44</v>
      </c>
      <c r="C152" s="10" t="s">
        <v>45</v>
      </c>
      <c r="D152" s="10"/>
      <c r="E152" s="10"/>
      <c r="F152" s="10" t="s">
        <v>44</v>
      </c>
      <c r="G152" s="11" t="s">
        <v>720</v>
      </c>
      <c r="H152" s="10" t="n">
        <v>2023</v>
      </c>
      <c r="I152" s="10" t="s">
        <v>721</v>
      </c>
      <c r="J152" s="11" t="s">
        <v>722</v>
      </c>
      <c r="K152" s="10" t="s">
        <v>49</v>
      </c>
      <c r="L152" s="10" t="s">
        <v>723</v>
      </c>
    </row>
    <row r="153" customFormat="false" ht="35.05" hidden="false" customHeight="false" outlineLevel="0" collapsed="false">
      <c r="A153" s="10" t="s">
        <v>724</v>
      </c>
      <c r="B153" s="10" t="s">
        <v>44</v>
      </c>
      <c r="C153" s="10" t="s">
        <v>45</v>
      </c>
      <c r="D153" s="10"/>
      <c r="E153" s="10"/>
      <c r="F153" s="10" t="s">
        <v>52</v>
      </c>
      <c r="G153" s="11" t="s">
        <v>725</v>
      </c>
      <c r="H153" s="10" t="n">
        <v>2023</v>
      </c>
      <c r="I153" s="10" t="s">
        <v>726</v>
      </c>
      <c r="J153" s="11" t="s">
        <v>727</v>
      </c>
      <c r="K153" s="10" t="s">
        <v>49</v>
      </c>
      <c r="L153" s="10" t="s">
        <v>728</v>
      </c>
    </row>
    <row r="154" customFormat="false" ht="23.85" hidden="false" customHeight="false" outlineLevel="0" collapsed="false">
      <c r="A154" s="10" t="s">
        <v>729</v>
      </c>
      <c r="B154" s="10" t="s">
        <v>44</v>
      </c>
      <c r="C154" s="10" t="s">
        <v>45</v>
      </c>
      <c r="D154" s="10"/>
      <c r="E154" s="10"/>
      <c r="F154" s="10" t="s">
        <v>44</v>
      </c>
      <c r="G154" s="11" t="s">
        <v>730</v>
      </c>
      <c r="H154" s="10" t="n">
        <v>2024</v>
      </c>
      <c r="I154" s="10" t="s">
        <v>731</v>
      </c>
      <c r="J154" s="11" t="s">
        <v>405</v>
      </c>
      <c r="K154" s="10" t="s">
        <v>49</v>
      </c>
      <c r="L154" s="10" t="s">
        <v>732</v>
      </c>
    </row>
    <row r="155" customFormat="false" ht="23.85" hidden="false" customHeight="false" outlineLevel="0" collapsed="false">
      <c r="A155" s="10" t="s">
        <v>733</v>
      </c>
      <c r="B155" s="10" t="s">
        <v>44</v>
      </c>
      <c r="C155" s="10" t="s">
        <v>45</v>
      </c>
      <c r="D155" s="10"/>
      <c r="E155" s="10"/>
      <c r="F155" s="10" t="s">
        <v>44</v>
      </c>
      <c r="G155" s="11" t="s">
        <v>734</v>
      </c>
      <c r="H155" s="10" t="n">
        <v>2019</v>
      </c>
      <c r="I155" s="10" t="s">
        <v>735</v>
      </c>
      <c r="J155" s="11" t="s">
        <v>736</v>
      </c>
      <c r="K155" s="10" t="s">
        <v>61</v>
      </c>
      <c r="L155" s="10" t="s">
        <v>737</v>
      </c>
    </row>
    <row r="156" customFormat="false" ht="23.85" hidden="false" customHeight="false" outlineLevel="0" collapsed="false">
      <c r="A156" s="10" t="s">
        <v>738</v>
      </c>
      <c r="B156" s="10" t="s">
        <v>44</v>
      </c>
      <c r="C156" s="10" t="s">
        <v>45</v>
      </c>
      <c r="D156" s="10"/>
      <c r="E156" s="10"/>
      <c r="F156" s="10" t="s">
        <v>44</v>
      </c>
      <c r="G156" s="11" t="s">
        <v>739</v>
      </c>
      <c r="H156" s="10" t="n">
        <v>2024</v>
      </c>
      <c r="I156" s="10" t="s">
        <v>740</v>
      </c>
      <c r="J156" s="11" t="s">
        <v>482</v>
      </c>
      <c r="K156" s="10" t="s">
        <v>49</v>
      </c>
      <c r="L156" s="10" t="s">
        <v>741</v>
      </c>
    </row>
    <row r="157" customFormat="false" ht="15" hidden="false" customHeight="false" outlineLevel="0" collapsed="false">
      <c r="A157" s="10" t="s">
        <v>742</v>
      </c>
      <c r="B157" s="10" t="s">
        <v>44</v>
      </c>
      <c r="C157" s="10" t="s">
        <v>45</v>
      </c>
      <c r="D157" s="10"/>
      <c r="E157" s="10"/>
      <c r="F157" s="10" t="s">
        <v>44</v>
      </c>
      <c r="G157" s="11" t="s">
        <v>743</v>
      </c>
      <c r="H157" s="10" t="n">
        <v>2023</v>
      </c>
      <c r="I157" s="10" t="s">
        <v>744</v>
      </c>
      <c r="J157" s="11" t="s">
        <v>478</v>
      </c>
      <c r="K157" s="10" t="s">
        <v>61</v>
      </c>
      <c r="L157" s="10"/>
    </row>
    <row r="158" customFormat="false" ht="15" hidden="false" customHeight="false" outlineLevel="0" collapsed="false">
      <c r="A158" s="10" t="s">
        <v>745</v>
      </c>
      <c r="B158" s="10" t="s">
        <v>44</v>
      </c>
      <c r="C158" s="10" t="s">
        <v>45</v>
      </c>
      <c r="D158" s="10"/>
      <c r="E158" s="10"/>
      <c r="F158" s="10" t="s">
        <v>44</v>
      </c>
      <c r="G158" s="11" t="s">
        <v>746</v>
      </c>
      <c r="H158" s="10" t="n">
        <v>2024</v>
      </c>
      <c r="I158" s="10" t="s">
        <v>747</v>
      </c>
      <c r="J158" s="11" t="s">
        <v>748</v>
      </c>
      <c r="K158" s="10" t="s">
        <v>61</v>
      </c>
      <c r="L158" s="10" t="s">
        <v>749</v>
      </c>
    </row>
    <row r="159" customFormat="false" ht="23.85" hidden="false" customHeight="false" outlineLevel="0" collapsed="false">
      <c r="A159" s="10" t="s">
        <v>750</v>
      </c>
      <c r="B159" s="10" t="s">
        <v>44</v>
      </c>
      <c r="C159" s="10" t="s">
        <v>45</v>
      </c>
      <c r="D159" s="10"/>
      <c r="E159" s="10"/>
      <c r="F159" s="10" t="s">
        <v>44</v>
      </c>
      <c r="G159" s="11" t="s">
        <v>751</v>
      </c>
      <c r="H159" s="10" t="n">
        <v>2024</v>
      </c>
      <c r="I159" s="10" t="s">
        <v>752</v>
      </c>
      <c r="J159" s="11" t="s">
        <v>389</v>
      </c>
      <c r="K159" s="10" t="s">
        <v>49</v>
      </c>
      <c r="L159" s="10"/>
    </row>
    <row r="160" customFormat="false" ht="35.05" hidden="false" customHeight="false" outlineLevel="0" collapsed="false">
      <c r="A160" s="10" t="s">
        <v>753</v>
      </c>
      <c r="B160" s="10" t="s">
        <v>44</v>
      </c>
      <c r="C160" s="10" t="s">
        <v>45</v>
      </c>
      <c r="D160" s="10"/>
      <c r="E160" s="10"/>
      <c r="F160" s="10" t="s">
        <v>44</v>
      </c>
      <c r="G160" s="11" t="s">
        <v>754</v>
      </c>
      <c r="H160" s="10" t="n">
        <v>2020</v>
      </c>
      <c r="I160" s="10" t="s">
        <v>755</v>
      </c>
      <c r="J160" s="11" t="s">
        <v>48</v>
      </c>
      <c r="K160" s="10" t="s">
        <v>49</v>
      </c>
      <c r="L160" s="10" t="s">
        <v>756</v>
      </c>
    </row>
    <row r="161" customFormat="false" ht="35.05" hidden="false" customHeight="false" outlineLevel="0" collapsed="false">
      <c r="A161" s="10" t="s">
        <v>757</v>
      </c>
      <c r="B161" s="10" t="s">
        <v>44</v>
      </c>
      <c r="C161" s="10" t="s">
        <v>45</v>
      </c>
      <c r="D161" s="10"/>
      <c r="E161" s="10"/>
      <c r="F161" s="10" t="s">
        <v>44</v>
      </c>
      <c r="G161" s="11" t="s">
        <v>758</v>
      </c>
      <c r="H161" s="10" t="n">
        <v>2025</v>
      </c>
      <c r="I161" s="10" t="s">
        <v>759</v>
      </c>
      <c r="J161" s="11" t="s">
        <v>760</v>
      </c>
      <c r="K161" s="10" t="s">
        <v>49</v>
      </c>
      <c r="L161" s="10" t="s">
        <v>761</v>
      </c>
    </row>
    <row r="162" customFormat="false" ht="35.05" hidden="false" customHeight="false" outlineLevel="0" collapsed="false">
      <c r="A162" s="10" t="s">
        <v>762</v>
      </c>
      <c r="B162" s="10" t="s">
        <v>44</v>
      </c>
      <c r="C162" s="10" t="s">
        <v>408</v>
      </c>
      <c r="D162" s="10" t="s">
        <v>763</v>
      </c>
      <c r="E162" s="10" t="s">
        <v>409</v>
      </c>
      <c r="F162" s="10"/>
      <c r="G162" s="11" t="s">
        <v>764</v>
      </c>
      <c r="H162" s="10" t="n">
        <v>2026</v>
      </c>
      <c r="I162" s="10" t="s">
        <v>765</v>
      </c>
      <c r="J162" s="11" t="s">
        <v>192</v>
      </c>
      <c r="K162" s="10" t="s">
        <v>49</v>
      </c>
      <c r="L162" s="10" t="s">
        <v>766</v>
      </c>
    </row>
    <row r="163" customFormat="false" ht="23.85" hidden="false" customHeight="false" outlineLevel="0" collapsed="false">
      <c r="A163" s="10" t="s">
        <v>767</v>
      </c>
      <c r="B163" s="10" t="s">
        <v>44</v>
      </c>
      <c r="C163" s="10" t="s">
        <v>45</v>
      </c>
      <c r="D163" s="10"/>
      <c r="E163" s="10"/>
      <c r="F163" s="10" t="s">
        <v>52</v>
      </c>
      <c r="G163" s="11" t="s">
        <v>768</v>
      </c>
      <c r="H163" s="10" t="n">
        <v>2025</v>
      </c>
      <c r="I163" s="10" t="s">
        <v>765</v>
      </c>
      <c r="J163" s="11" t="s">
        <v>769</v>
      </c>
      <c r="K163" s="10" t="s">
        <v>49</v>
      </c>
      <c r="L163" s="10" t="s">
        <v>770</v>
      </c>
    </row>
    <row r="164" customFormat="false" ht="23.85" hidden="false" customHeight="false" outlineLevel="0" collapsed="false">
      <c r="A164" s="10" t="s">
        <v>771</v>
      </c>
      <c r="B164" s="10" t="s">
        <v>44</v>
      </c>
      <c r="C164" s="10" t="s">
        <v>45</v>
      </c>
      <c r="D164" s="10"/>
      <c r="E164" s="10"/>
      <c r="F164" s="10" t="s">
        <v>52</v>
      </c>
      <c r="G164" s="11" t="s">
        <v>772</v>
      </c>
      <c r="H164" s="10" t="n">
        <v>2023</v>
      </c>
      <c r="I164" s="10" t="s">
        <v>773</v>
      </c>
      <c r="J164" s="11" t="s">
        <v>311</v>
      </c>
      <c r="K164" s="10" t="s">
        <v>49</v>
      </c>
      <c r="L164" s="10" t="s">
        <v>774</v>
      </c>
    </row>
    <row r="165" customFormat="false" ht="23.85" hidden="false" customHeight="false" outlineLevel="0" collapsed="false">
      <c r="A165" s="10" t="s">
        <v>775</v>
      </c>
      <c r="B165" s="10" t="s">
        <v>44</v>
      </c>
      <c r="C165" s="10" t="s">
        <v>45</v>
      </c>
      <c r="D165" s="10"/>
      <c r="E165" s="10"/>
      <c r="F165" s="10" t="s">
        <v>44</v>
      </c>
      <c r="G165" s="11" t="s">
        <v>776</v>
      </c>
      <c r="H165" s="10" t="n">
        <v>2022</v>
      </c>
      <c r="I165" s="10" t="s">
        <v>777</v>
      </c>
      <c r="J165" s="11" t="s">
        <v>778</v>
      </c>
      <c r="K165" s="10" t="s">
        <v>49</v>
      </c>
      <c r="L165" s="10"/>
    </row>
    <row r="166" customFormat="false" ht="23.85" hidden="false" customHeight="false" outlineLevel="0" collapsed="false">
      <c r="A166" s="10" t="s">
        <v>779</v>
      </c>
      <c r="B166" s="10" t="s">
        <v>44</v>
      </c>
      <c r="C166" s="10" t="s">
        <v>45</v>
      </c>
      <c r="D166" s="10"/>
      <c r="E166" s="10"/>
      <c r="F166" s="10" t="s">
        <v>52</v>
      </c>
      <c r="G166" s="11" t="s">
        <v>780</v>
      </c>
      <c r="H166" s="10" t="n">
        <v>2020</v>
      </c>
      <c r="I166" s="10" t="s">
        <v>781</v>
      </c>
      <c r="J166" s="11" t="s">
        <v>782</v>
      </c>
      <c r="K166" s="10" t="s">
        <v>49</v>
      </c>
      <c r="L166" s="10" t="s">
        <v>783</v>
      </c>
    </row>
    <row r="167" customFormat="false" ht="35.05" hidden="false" customHeight="false" outlineLevel="0" collapsed="false">
      <c r="A167" s="10" t="s">
        <v>784</v>
      </c>
      <c r="B167" s="10" t="s">
        <v>44</v>
      </c>
      <c r="C167" s="10" t="s">
        <v>45</v>
      </c>
      <c r="D167" s="10"/>
      <c r="E167" s="10"/>
      <c r="F167" s="10" t="s">
        <v>52</v>
      </c>
      <c r="G167" s="11" t="s">
        <v>785</v>
      </c>
      <c r="H167" s="10" t="n">
        <v>2025</v>
      </c>
      <c r="I167" s="10" t="s">
        <v>786</v>
      </c>
      <c r="J167" s="11" t="s">
        <v>787</v>
      </c>
      <c r="K167" s="10" t="s">
        <v>49</v>
      </c>
      <c r="L167" s="10" t="s">
        <v>788</v>
      </c>
    </row>
    <row r="168" customFormat="false" ht="23.85" hidden="false" customHeight="false" outlineLevel="0" collapsed="false">
      <c r="A168" s="10" t="s">
        <v>789</v>
      </c>
      <c r="B168" s="10" t="s">
        <v>44</v>
      </c>
      <c r="C168" s="10" t="s">
        <v>45</v>
      </c>
      <c r="D168" s="10"/>
      <c r="E168" s="10"/>
      <c r="F168" s="10" t="s">
        <v>44</v>
      </c>
      <c r="G168" s="11" t="s">
        <v>790</v>
      </c>
      <c r="H168" s="10" t="n">
        <v>2025</v>
      </c>
      <c r="I168" s="10" t="s">
        <v>791</v>
      </c>
      <c r="J168" s="11" t="s">
        <v>482</v>
      </c>
      <c r="K168" s="10" t="s">
        <v>49</v>
      </c>
      <c r="L168" s="10" t="s">
        <v>792</v>
      </c>
    </row>
    <row r="169" customFormat="false" ht="35.05" hidden="false" customHeight="false" outlineLevel="0" collapsed="false">
      <c r="A169" s="10" t="s">
        <v>793</v>
      </c>
      <c r="B169" s="10" t="s">
        <v>44</v>
      </c>
      <c r="C169" s="10" t="s">
        <v>45</v>
      </c>
      <c r="D169" s="10"/>
      <c r="E169" s="10"/>
      <c r="F169" s="10" t="s">
        <v>52</v>
      </c>
      <c r="G169" s="11" t="s">
        <v>794</v>
      </c>
      <c r="H169" s="10" t="n">
        <v>2026</v>
      </c>
      <c r="I169" s="10" t="s">
        <v>795</v>
      </c>
      <c r="J169" s="11" t="s">
        <v>796</v>
      </c>
      <c r="K169" s="10" t="s">
        <v>49</v>
      </c>
      <c r="L169" s="10" t="s">
        <v>797</v>
      </c>
    </row>
    <row r="170" customFormat="false" ht="35.05" hidden="false" customHeight="false" outlineLevel="0" collapsed="false">
      <c r="A170" s="10" t="s">
        <v>798</v>
      </c>
      <c r="B170" s="10" t="s">
        <v>44</v>
      </c>
      <c r="C170" s="10" t="s">
        <v>45</v>
      </c>
      <c r="D170" s="10"/>
      <c r="E170" s="10"/>
      <c r="F170" s="10" t="s">
        <v>170</v>
      </c>
      <c r="G170" s="11" t="s">
        <v>799</v>
      </c>
      <c r="H170" s="10" t="n">
        <v>2025</v>
      </c>
      <c r="I170" s="10" t="s">
        <v>800</v>
      </c>
      <c r="J170" s="11" t="s">
        <v>801</v>
      </c>
      <c r="K170" s="10" t="s">
        <v>49</v>
      </c>
      <c r="L170" s="10" t="s">
        <v>802</v>
      </c>
    </row>
    <row r="171" customFormat="false" ht="35.05" hidden="false" customHeight="false" outlineLevel="0" collapsed="false">
      <c r="A171" s="10" t="s">
        <v>803</v>
      </c>
      <c r="B171" s="10" t="s">
        <v>44</v>
      </c>
      <c r="C171" s="10" t="s">
        <v>45</v>
      </c>
      <c r="D171" s="10"/>
      <c r="E171" s="10"/>
      <c r="F171" s="10" t="s">
        <v>170</v>
      </c>
      <c r="G171" s="11" t="s">
        <v>804</v>
      </c>
      <c r="H171" s="10" t="n">
        <v>2023</v>
      </c>
      <c r="I171" s="10" t="s">
        <v>805</v>
      </c>
      <c r="J171" s="11" t="s">
        <v>410</v>
      </c>
      <c r="K171" s="10" t="s">
        <v>49</v>
      </c>
      <c r="L171" s="10"/>
    </row>
    <row r="172" customFormat="false" ht="15" hidden="false" customHeight="false" outlineLevel="0" collapsed="false">
      <c r="A172" s="10" t="s">
        <v>806</v>
      </c>
      <c r="B172" s="10" t="s">
        <v>44</v>
      </c>
      <c r="C172" s="10" t="s">
        <v>45</v>
      </c>
      <c r="D172" s="10"/>
      <c r="E172" s="10"/>
      <c r="F172" s="10" t="s">
        <v>44</v>
      </c>
      <c r="G172" s="11" t="s">
        <v>807</v>
      </c>
      <c r="H172" s="10" t="n">
        <v>2026</v>
      </c>
      <c r="I172" s="10" t="s">
        <v>808</v>
      </c>
      <c r="J172" s="11" t="s">
        <v>321</v>
      </c>
      <c r="K172" s="10" t="s">
        <v>49</v>
      </c>
      <c r="L172" s="10" t="s">
        <v>809</v>
      </c>
    </row>
    <row r="173" customFormat="false" ht="23.85" hidden="false" customHeight="false" outlineLevel="0" collapsed="false">
      <c r="A173" s="10" t="s">
        <v>810</v>
      </c>
      <c r="B173" s="10" t="s">
        <v>44</v>
      </c>
      <c r="C173" s="10" t="s">
        <v>45</v>
      </c>
      <c r="D173" s="10"/>
      <c r="E173" s="10"/>
      <c r="F173" s="10" t="s">
        <v>44</v>
      </c>
      <c r="G173" s="11" t="s">
        <v>811</v>
      </c>
      <c r="H173" s="10" t="n">
        <v>2024</v>
      </c>
      <c r="I173" s="10" t="s">
        <v>812</v>
      </c>
      <c r="J173" s="11" t="s">
        <v>813</v>
      </c>
      <c r="K173" s="10" t="s">
        <v>49</v>
      </c>
      <c r="L173" s="10" t="s">
        <v>814</v>
      </c>
    </row>
    <row r="174" customFormat="false" ht="15" hidden="false" customHeight="false" outlineLevel="0" collapsed="false">
      <c r="A174" s="10" t="s">
        <v>815</v>
      </c>
      <c r="B174" s="10" t="s">
        <v>44</v>
      </c>
      <c r="C174" s="10" t="s">
        <v>45</v>
      </c>
      <c r="D174" s="10"/>
      <c r="E174" s="10"/>
      <c r="F174" s="10" t="s">
        <v>44</v>
      </c>
      <c r="G174" s="11" t="s">
        <v>816</v>
      </c>
      <c r="H174" s="10" t="n">
        <v>2023</v>
      </c>
      <c r="I174" s="10" t="s">
        <v>817</v>
      </c>
      <c r="J174" s="11" t="s">
        <v>818</v>
      </c>
      <c r="K174" s="10" t="s">
        <v>61</v>
      </c>
      <c r="L174" s="10" t="s">
        <v>819</v>
      </c>
    </row>
    <row r="175" customFormat="false" ht="35.05" hidden="false" customHeight="false" outlineLevel="0" collapsed="false">
      <c r="A175" s="10" t="s">
        <v>820</v>
      </c>
      <c r="B175" s="10" t="s">
        <v>44</v>
      </c>
      <c r="C175" s="10" t="s">
        <v>45</v>
      </c>
      <c r="D175" s="10"/>
      <c r="E175" s="10"/>
      <c r="F175" s="10" t="s">
        <v>52</v>
      </c>
      <c r="G175" s="11" t="s">
        <v>821</v>
      </c>
      <c r="H175" s="10" t="n">
        <v>2025</v>
      </c>
      <c r="I175" s="10" t="s">
        <v>822</v>
      </c>
      <c r="J175" s="11" t="s">
        <v>823</v>
      </c>
      <c r="K175" s="10" t="s">
        <v>49</v>
      </c>
      <c r="L175" s="10" t="s">
        <v>824</v>
      </c>
    </row>
    <row r="176" customFormat="false" ht="23.85" hidden="false" customHeight="false" outlineLevel="0" collapsed="false">
      <c r="A176" s="10" t="s">
        <v>825</v>
      </c>
      <c r="B176" s="10" t="s">
        <v>44</v>
      </c>
      <c r="C176" s="10" t="s">
        <v>45</v>
      </c>
      <c r="D176" s="10"/>
      <c r="E176" s="10"/>
      <c r="F176" s="10" t="s">
        <v>44</v>
      </c>
      <c r="G176" s="11" t="s">
        <v>826</v>
      </c>
      <c r="H176" s="10" t="n">
        <v>2025</v>
      </c>
      <c r="I176" s="10" t="s">
        <v>827</v>
      </c>
      <c r="J176" s="11" t="s">
        <v>828</v>
      </c>
      <c r="K176" s="10" t="s">
        <v>49</v>
      </c>
      <c r="L176" s="10" t="s">
        <v>829</v>
      </c>
    </row>
    <row r="177" customFormat="false" ht="15" hidden="false" customHeight="false" outlineLevel="0" collapsed="false">
      <c r="A177" s="10" t="s">
        <v>830</v>
      </c>
      <c r="B177" s="10" t="s">
        <v>44</v>
      </c>
      <c r="C177" s="10" t="s">
        <v>45</v>
      </c>
      <c r="D177" s="10"/>
      <c r="E177" s="10"/>
      <c r="F177" s="10" t="s">
        <v>44</v>
      </c>
      <c r="G177" s="11" t="s">
        <v>831</v>
      </c>
      <c r="H177" s="10" t="n">
        <v>2024</v>
      </c>
      <c r="I177" s="10" t="s">
        <v>47</v>
      </c>
      <c r="J177" s="11" t="s">
        <v>832</v>
      </c>
      <c r="K177" s="10" t="s">
        <v>61</v>
      </c>
      <c r="L177" s="10" t="s">
        <v>833</v>
      </c>
    </row>
    <row r="178" customFormat="false" ht="23.85" hidden="false" customHeight="false" outlineLevel="0" collapsed="false">
      <c r="A178" s="10" t="s">
        <v>834</v>
      </c>
      <c r="B178" s="10" t="s">
        <v>44</v>
      </c>
      <c r="C178" s="10" t="s">
        <v>45</v>
      </c>
      <c r="D178" s="10"/>
      <c r="E178" s="10"/>
      <c r="F178" s="10" t="s">
        <v>52</v>
      </c>
      <c r="G178" s="11" t="s">
        <v>835</v>
      </c>
      <c r="H178" s="10" t="n">
        <v>2025</v>
      </c>
      <c r="I178" s="10" t="s">
        <v>836</v>
      </c>
      <c r="J178" s="11" t="s">
        <v>837</v>
      </c>
      <c r="K178" s="10" t="s">
        <v>49</v>
      </c>
      <c r="L178" s="10" t="s">
        <v>838</v>
      </c>
    </row>
    <row r="179" customFormat="false" ht="15" hidden="false" customHeight="false" outlineLevel="0" collapsed="false">
      <c r="A179" s="10" t="s">
        <v>839</v>
      </c>
      <c r="B179" s="10" t="s">
        <v>44</v>
      </c>
      <c r="C179" s="10" t="s">
        <v>45</v>
      </c>
      <c r="D179" s="10"/>
      <c r="E179" s="10"/>
      <c r="F179" s="10" t="s">
        <v>44</v>
      </c>
      <c r="G179" s="11" t="s">
        <v>840</v>
      </c>
      <c r="H179" s="10" t="n">
        <v>2018</v>
      </c>
      <c r="I179" s="10" t="s">
        <v>841</v>
      </c>
      <c r="J179" s="11" t="s">
        <v>842</v>
      </c>
      <c r="K179" s="10" t="s">
        <v>61</v>
      </c>
      <c r="L179" s="10" t="s">
        <v>843</v>
      </c>
    </row>
    <row r="180" customFormat="false" ht="23.85" hidden="false" customHeight="false" outlineLevel="0" collapsed="false">
      <c r="A180" s="10" t="s">
        <v>844</v>
      </c>
      <c r="B180" s="10" t="s">
        <v>44</v>
      </c>
      <c r="C180" s="10" t="s">
        <v>45</v>
      </c>
      <c r="D180" s="10"/>
      <c r="E180" s="10"/>
      <c r="F180" s="10" t="s">
        <v>52</v>
      </c>
      <c r="G180" s="11" t="s">
        <v>845</v>
      </c>
      <c r="H180" s="10" t="n">
        <v>2025</v>
      </c>
      <c r="I180" s="10" t="s">
        <v>846</v>
      </c>
      <c r="J180" s="11" t="s">
        <v>82</v>
      </c>
      <c r="K180" s="10" t="s">
        <v>49</v>
      </c>
      <c r="L180" s="10" t="s">
        <v>847</v>
      </c>
    </row>
    <row r="181" customFormat="false" ht="23.85" hidden="false" customHeight="false" outlineLevel="0" collapsed="false">
      <c r="A181" s="10" t="s">
        <v>848</v>
      </c>
      <c r="B181" s="10" t="s">
        <v>44</v>
      </c>
      <c r="C181" s="10" t="s">
        <v>45</v>
      </c>
      <c r="D181" s="10"/>
      <c r="E181" s="10"/>
      <c r="F181" s="10" t="s">
        <v>44</v>
      </c>
      <c r="G181" s="11" t="s">
        <v>849</v>
      </c>
      <c r="H181" s="10" t="n">
        <v>2024</v>
      </c>
      <c r="I181" s="10" t="s">
        <v>850</v>
      </c>
      <c r="J181" s="11" t="s">
        <v>580</v>
      </c>
      <c r="K181" s="10" t="s">
        <v>61</v>
      </c>
      <c r="L181" s="10" t="s">
        <v>851</v>
      </c>
    </row>
    <row r="182" customFormat="false" ht="15" hidden="false" customHeight="false" outlineLevel="0" collapsed="false">
      <c r="A182" s="10" t="s">
        <v>852</v>
      </c>
      <c r="B182" s="10" t="s">
        <v>44</v>
      </c>
      <c r="C182" s="10" t="s">
        <v>45</v>
      </c>
      <c r="D182" s="10"/>
      <c r="E182" s="10"/>
      <c r="F182" s="10" t="s">
        <v>44</v>
      </c>
      <c r="G182" s="11" t="s">
        <v>853</v>
      </c>
      <c r="H182" s="10" t="n">
        <v>2021</v>
      </c>
      <c r="I182" s="10" t="s">
        <v>854</v>
      </c>
      <c r="J182" s="11" t="s">
        <v>855</v>
      </c>
      <c r="K182" s="10" t="s">
        <v>61</v>
      </c>
      <c r="L182" s="10" t="s">
        <v>856</v>
      </c>
    </row>
    <row r="183" customFormat="false" ht="23.85" hidden="false" customHeight="false" outlineLevel="0" collapsed="false">
      <c r="A183" s="10" t="s">
        <v>857</v>
      </c>
      <c r="B183" s="10" t="s">
        <v>44</v>
      </c>
      <c r="C183" s="10" t="s">
        <v>45</v>
      </c>
      <c r="D183" s="10"/>
      <c r="E183" s="10"/>
      <c r="F183" s="10" t="s">
        <v>44</v>
      </c>
      <c r="G183" s="11" t="s">
        <v>858</v>
      </c>
      <c r="H183" s="10" t="n">
        <v>2023</v>
      </c>
      <c r="I183" s="10" t="s">
        <v>859</v>
      </c>
      <c r="J183" s="11" t="s">
        <v>860</v>
      </c>
      <c r="K183" s="10" t="s">
        <v>49</v>
      </c>
      <c r="L183" s="10" t="s">
        <v>861</v>
      </c>
    </row>
    <row r="184" customFormat="false" ht="23.85" hidden="false" customHeight="false" outlineLevel="0" collapsed="false">
      <c r="A184" s="10" t="s">
        <v>862</v>
      </c>
      <c r="B184" s="10" t="s">
        <v>44</v>
      </c>
      <c r="C184" s="10" t="s">
        <v>45</v>
      </c>
      <c r="D184" s="10"/>
      <c r="E184" s="10"/>
      <c r="F184" s="10" t="s">
        <v>44</v>
      </c>
      <c r="G184" s="11" t="s">
        <v>863</v>
      </c>
      <c r="H184" s="10" t="n">
        <v>2020</v>
      </c>
      <c r="I184" s="10" t="s">
        <v>864</v>
      </c>
      <c r="J184" s="11" t="s">
        <v>70</v>
      </c>
      <c r="K184" s="10" t="s">
        <v>49</v>
      </c>
      <c r="L184" s="10"/>
    </row>
    <row r="185" customFormat="false" ht="23.85" hidden="false" customHeight="false" outlineLevel="0" collapsed="false">
      <c r="A185" s="10" t="s">
        <v>865</v>
      </c>
      <c r="B185" s="10" t="s">
        <v>44</v>
      </c>
      <c r="C185" s="10" t="s">
        <v>45</v>
      </c>
      <c r="D185" s="10"/>
      <c r="E185" s="10"/>
      <c r="F185" s="10" t="s">
        <v>44</v>
      </c>
      <c r="G185" s="11" t="s">
        <v>866</v>
      </c>
      <c r="H185" s="10" t="n">
        <v>2025</v>
      </c>
      <c r="I185" s="10" t="s">
        <v>272</v>
      </c>
      <c r="J185" s="11" t="s">
        <v>867</v>
      </c>
      <c r="K185" s="10" t="s">
        <v>61</v>
      </c>
      <c r="L185" s="10" t="s">
        <v>868</v>
      </c>
    </row>
    <row r="186" customFormat="false" ht="15" hidden="false" customHeight="false" outlineLevel="0" collapsed="false">
      <c r="A186" s="10" t="s">
        <v>869</v>
      </c>
      <c r="B186" s="10" t="s">
        <v>44</v>
      </c>
      <c r="C186" s="10" t="s">
        <v>45</v>
      </c>
      <c r="D186" s="10"/>
      <c r="E186" s="10"/>
      <c r="F186" s="10" t="s">
        <v>44</v>
      </c>
      <c r="G186" s="11" t="s">
        <v>870</v>
      </c>
      <c r="H186" s="10" t="n">
        <v>2025</v>
      </c>
      <c r="I186" s="10" t="s">
        <v>871</v>
      </c>
      <c r="J186" s="11" t="s">
        <v>478</v>
      </c>
      <c r="K186" s="10" t="s">
        <v>61</v>
      </c>
      <c r="L186" s="10"/>
    </row>
    <row r="187" customFormat="false" ht="57.45" hidden="false" customHeight="false" outlineLevel="0" collapsed="false">
      <c r="A187" s="10" t="s">
        <v>872</v>
      </c>
      <c r="B187" s="10" t="s">
        <v>44</v>
      </c>
      <c r="C187" s="10" t="s">
        <v>45</v>
      </c>
      <c r="D187" s="10"/>
      <c r="E187" s="10"/>
      <c r="F187" s="10" t="s">
        <v>44</v>
      </c>
      <c r="G187" s="11" t="s">
        <v>873</v>
      </c>
      <c r="H187" s="10" t="n">
        <v>2025</v>
      </c>
      <c r="I187" s="10" t="s">
        <v>874</v>
      </c>
      <c r="J187" s="11" t="s">
        <v>875</v>
      </c>
      <c r="K187" s="10" t="s">
        <v>49</v>
      </c>
      <c r="L187" s="10" t="s">
        <v>876</v>
      </c>
    </row>
    <row r="188" customFormat="false" ht="23.85" hidden="false" customHeight="false" outlineLevel="0" collapsed="false">
      <c r="A188" s="10" t="s">
        <v>877</v>
      </c>
      <c r="B188" s="10" t="s">
        <v>44</v>
      </c>
      <c r="C188" s="10" t="s">
        <v>45</v>
      </c>
      <c r="D188" s="10"/>
      <c r="E188" s="10"/>
      <c r="F188" s="10" t="s">
        <v>44</v>
      </c>
      <c r="G188" s="11" t="s">
        <v>878</v>
      </c>
      <c r="H188" s="10" t="n">
        <v>2026</v>
      </c>
      <c r="I188" s="10" t="s">
        <v>879</v>
      </c>
      <c r="J188" s="11" t="s">
        <v>880</v>
      </c>
      <c r="K188" s="10" t="s">
        <v>61</v>
      </c>
      <c r="L188" s="10" t="s">
        <v>881</v>
      </c>
    </row>
    <row r="189" customFormat="false" ht="23.85" hidden="false" customHeight="false" outlineLevel="0" collapsed="false">
      <c r="A189" s="10" t="s">
        <v>882</v>
      </c>
      <c r="B189" s="10" t="s">
        <v>44</v>
      </c>
      <c r="C189" s="10" t="s">
        <v>45</v>
      </c>
      <c r="D189" s="10"/>
      <c r="E189" s="10"/>
      <c r="F189" s="10" t="s">
        <v>44</v>
      </c>
      <c r="G189" s="11" t="s">
        <v>883</v>
      </c>
      <c r="H189" s="10" t="n">
        <v>2022</v>
      </c>
      <c r="I189" s="10" t="s">
        <v>884</v>
      </c>
      <c r="J189" s="11" t="s">
        <v>885</v>
      </c>
      <c r="K189" s="10" t="s">
        <v>61</v>
      </c>
      <c r="L189" s="10" t="s">
        <v>886</v>
      </c>
    </row>
    <row r="190" customFormat="false" ht="23.85" hidden="false" customHeight="false" outlineLevel="0" collapsed="false">
      <c r="A190" s="10" t="s">
        <v>887</v>
      </c>
      <c r="B190" s="10" t="s">
        <v>44</v>
      </c>
      <c r="C190" s="10" t="s">
        <v>45</v>
      </c>
      <c r="D190" s="10"/>
      <c r="E190" s="10"/>
      <c r="F190" s="10" t="s">
        <v>44</v>
      </c>
      <c r="G190" s="11" t="s">
        <v>888</v>
      </c>
      <c r="H190" s="10" t="n">
        <v>2023</v>
      </c>
      <c r="I190" s="10" t="s">
        <v>196</v>
      </c>
      <c r="J190" s="11" t="s">
        <v>889</v>
      </c>
      <c r="K190" s="10" t="s">
        <v>61</v>
      </c>
      <c r="L190" s="10" t="s">
        <v>890</v>
      </c>
    </row>
    <row r="191" customFormat="false" ht="23.85" hidden="false" customHeight="false" outlineLevel="0" collapsed="false">
      <c r="A191" s="10" t="s">
        <v>891</v>
      </c>
      <c r="B191" s="10" t="s">
        <v>44</v>
      </c>
      <c r="C191" s="10" t="s">
        <v>45</v>
      </c>
      <c r="D191" s="10"/>
      <c r="E191" s="10"/>
      <c r="F191" s="10" t="s">
        <v>44</v>
      </c>
      <c r="G191" s="11" t="s">
        <v>892</v>
      </c>
      <c r="H191" s="10" t="n">
        <v>2025</v>
      </c>
      <c r="I191" s="10" t="s">
        <v>893</v>
      </c>
      <c r="J191" s="11" t="s">
        <v>66</v>
      </c>
      <c r="K191" s="10" t="s">
        <v>49</v>
      </c>
      <c r="L191" s="10"/>
    </row>
    <row r="192" customFormat="false" ht="35.05" hidden="false" customHeight="false" outlineLevel="0" collapsed="false">
      <c r="A192" s="10" t="s">
        <v>894</v>
      </c>
      <c r="B192" s="10" t="s">
        <v>44</v>
      </c>
      <c r="C192" s="10" t="s">
        <v>45</v>
      </c>
      <c r="D192" s="10"/>
      <c r="E192" s="10"/>
      <c r="F192" s="10" t="s">
        <v>52</v>
      </c>
      <c r="G192" s="11" t="s">
        <v>895</v>
      </c>
      <c r="H192" s="10" t="n">
        <v>2026</v>
      </c>
      <c r="I192" s="10" t="s">
        <v>896</v>
      </c>
      <c r="J192" s="11" t="s">
        <v>897</v>
      </c>
      <c r="K192" s="10" t="s">
        <v>49</v>
      </c>
      <c r="L192" s="10" t="s">
        <v>898</v>
      </c>
    </row>
    <row r="193" customFormat="false" ht="23.85" hidden="false" customHeight="false" outlineLevel="0" collapsed="false">
      <c r="A193" s="10" t="s">
        <v>899</v>
      </c>
      <c r="B193" s="10" t="s">
        <v>44</v>
      </c>
      <c r="C193" s="10" t="s">
        <v>45</v>
      </c>
      <c r="D193" s="10"/>
      <c r="E193" s="10"/>
      <c r="F193" s="10" t="s">
        <v>44</v>
      </c>
      <c r="G193" s="11" t="s">
        <v>900</v>
      </c>
      <c r="H193" s="10" t="n">
        <v>2025</v>
      </c>
      <c r="I193" s="10" t="s">
        <v>901</v>
      </c>
      <c r="J193" s="11" t="s">
        <v>902</v>
      </c>
      <c r="K193" s="10" t="s">
        <v>61</v>
      </c>
      <c r="L193" s="10" t="s">
        <v>903</v>
      </c>
    </row>
    <row r="194" customFormat="false" ht="15" hidden="false" customHeight="false" outlineLevel="0" collapsed="false">
      <c r="A194" s="10" t="s">
        <v>904</v>
      </c>
      <c r="B194" s="10" t="s">
        <v>44</v>
      </c>
      <c r="C194" s="10" t="s">
        <v>45</v>
      </c>
      <c r="D194" s="10"/>
      <c r="E194" s="10"/>
      <c r="F194" s="10" t="s">
        <v>44</v>
      </c>
      <c r="G194" s="11" t="s">
        <v>905</v>
      </c>
      <c r="H194" s="10" t="n">
        <v>2022</v>
      </c>
      <c r="I194" s="10" t="s">
        <v>906</v>
      </c>
      <c r="J194" s="11" t="s">
        <v>907</v>
      </c>
      <c r="K194" s="10" t="s">
        <v>61</v>
      </c>
      <c r="L194" s="10" t="s">
        <v>908</v>
      </c>
    </row>
    <row r="195" customFormat="false" ht="15" hidden="false" customHeight="false" outlineLevel="0" collapsed="false">
      <c r="A195" s="10" t="s">
        <v>909</v>
      </c>
      <c r="B195" s="10" t="s">
        <v>44</v>
      </c>
      <c r="C195" s="10" t="s">
        <v>45</v>
      </c>
      <c r="D195" s="10"/>
      <c r="E195" s="10"/>
      <c r="F195" s="10" t="s">
        <v>44</v>
      </c>
      <c r="G195" s="11" t="s">
        <v>910</v>
      </c>
      <c r="H195" s="10" t="n">
        <v>2024</v>
      </c>
      <c r="I195" s="10" t="s">
        <v>911</v>
      </c>
      <c r="J195" s="11" t="s">
        <v>912</v>
      </c>
      <c r="K195" s="10" t="s">
        <v>61</v>
      </c>
      <c r="L195" s="10" t="s">
        <v>913</v>
      </c>
    </row>
    <row r="196" customFormat="false" ht="23.85" hidden="false" customHeight="false" outlineLevel="0" collapsed="false">
      <c r="A196" s="10" t="s">
        <v>914</v>
      </c>
      <c r="B196" s="10" t="s">
        <v>44</v>
      </c>
      <c r="C196" s="10" t="s">
        <v>45</v>
      </c>
      <c r="D196" s="10"/>
      <c r="E196" s="10"/>
      <c r="F196" s="10" t="s">
        <v>44</v>
      </c>
      <c r="G196" s="11" t="s">
        <v>915</v>
      </c>
      <c r="H196" s="10" t="n">
        <v>2023</v>
      </c>
      <c r="I196" s="10" t="s">
        <v>916</v>
      </c>
      <c r="J196" s="11" t="s">
        <v>917</v>
      </c>
      <c r="K196" s="10" t="s">
        <v>61</v>
      </c>
      <c r="L196" s="10" t="s">
        <v>918</v>
      </c>
    </row>
    <row r="197" customFormat="false" ht="23.85" hidden="false" customHeight="false" outlineLevel="0" collapsed="false">
      <c r="A197" s="10" t="s">
        <v>919</v>
      </c>
      <c r="B197" s="10" t="s">
        <v>44</v>
      </c>
      <c r="C197" s="10" t="s">
        <v>45</v>
      </c>
      <c r="D197" s="10"/>
      <c r="E197" s="10"/>
      <c r="F197" s="10" t="s">
        <v>44</v>
      </c>
      <c r="G197" s="11" t="s">
        <v>920</v>
      </c>
      <c r="H197" s="10" t="n">
        <v>2025</v>
      </c>
      <c r="I197" s="10" t="s">
        <v>921</v>
      </c>
      <c r="J197" s="11" t="s">
        <v>70</v>
      </c>
      <c r="K197" s="10" t="s">
        <v>49</v>
      </c>
      <c r="L197" s="10"/>
    </row>
    <row r="198" customFormat="false" ht="23.85" hidden="false" customHeight="false" outlineLevel="0" collapsed="false">
      <c r="A198" s="10" t="s">
        <v>922</v>
      </c>
      <c r="B198" s="10" t="s">
        <v>44</v>
      </c>
      <c r="C198" s="10" t="s">
        <v>45</v>
      </c>
      <c r="D198" s="10"/>
      <c r="E198" s="10"/>
      <c r="F198" s="10" t="s">
        <v>44</v>
      </c>
      <c r="G198" s="11" t="s">
        <v>923</v>
      </c>
      <c r="H198" s="10" t="n">
        <v>2021</v>
      </c>
      <c r="I198" s="10" t="s">
        <v>924</v>
      </c>
      <c r="J198" s="11" t="s">
        <v>82</v>
      </c>
      <c r="K198" s="10" t="s">
        <v>49</v>
      </c>
      <c r="L198" s="10" t="s">
        <v>925</v>
      </c>
    </row>
    <row r="199" customFormat="false" ht="23.85" hidden="false" customHeight="false" outlineLevel="0" collapsed="false">
      <c r="A199" s="10" t="s">
        <v>926</v>
      </c>
      <c r="B199" s="10" t="s">
        <v>44</v>
      </c>
      <c r="C199" s="10" t="s">
        <v>45</v>
      </c>
      <c r="D199" s="10"/>
      <c r="E199" s="10"/>
      <c r="F199" s="10" t="s">
        <v>44</v>
      </c>
      <c r="G199" s="11" t="s">
        <v>927</v>
      </c>
      <c r="H199" s="10" t="n">
        <v>2021</v>
      </c>
      <c r="I199" s="10" t="s">
        <v>928</v>
      </c>
      <c r="J199" s="11" t="s">
        <v>70</v>
      </c>
      <c r="K199" s="10" t="s">
        <v>49</v>
      </c>
      <c r="L199" s="10"/>
    </row>
    <row r="200" customFormat="false" ht="35.05" hidden="false" customHeight="false" outlineLevel="0" collapsed="false">
      <c r="A200" s="10" t="s">
        <v>929</v>
      </c>
      <c r="B200" s="10" t="s">
        <v>44</v>
      </c>
      <c r="C200" s="10" t="s">
        <v>45</v>
      </c>
      <c r="D200" s="10"/>
      <c r="E200" s="10"/>
      <c r="F200" s="10" t="s">
        <v>170</v>
      </c>
      <c r="G200" s="11" t="s">
        <v>930</v>
      </c>
      <c r="H200" s="10" t="n">
        <v>2024</v>
      </c>
      <c r="I200" s="10" t="s">
        <v>931</v>
      </c>
      <c r="J200" s="11" t="s">
        <v>410</v>
      </c>
      <c r="K200" s="10" t="s">
        <v>49</v>
      </c>
      <c r="L200" s="10"/>
    </row>
    <row r="201" customFormat="false" ht="15" hidden="false" customHeight="false" outlineLevel="0" collapsed="false">
      <c r="A201" s="10" t="s">
        <v>932</v>
      </c>
      <c r="B201" s="10" t="s">
        <v>44</v>
      </c>
      <c r="C201" s="10" t="s">
        <v>45</v>
      </c>
      <c r="D201" s="10"/>
      <c r="E201" s="10"/>
      <c r="F201" s="10" t="s">
        <v>44</v>
      </c>
      <c r="G201" s="11" t="s">
        <v>933</v>
      </c>
      <c r="H201" s="10" t="n">
        <v>2020</v>
      </c>
      <c r="I201" s="10" t="s">
        <v>934</v>
      </c>
      <c r="J201" s="11" t="s">
        <v>316</v>
      </c>
      <c r="K201" s="10" t="s">
        <v>61</v>
      </c>
      <c r="L201" s="10" t="s">
        <v>935</v>
      </c>
    </row>
    <row r="202" customFormat="false" ht="23.85" hidden="false" customHeight="false" outlineLevel="0" collapsed="false">
      <c r="A202" s="10" t="s">
        <v>936</v>
      </c>
      <c r="B202" s="10" t="s">
        <v>44</v>
      </c>
      <c r="C202" s="10" t="s">
        <v>45</v>
      </c>
      <c r="D202" s="10"/>
      <c r="E202" s="10"/>
      <c r="F202" s="10" t="s">
        <v>44</v>
      </c>
      <c r="G202" s="11" t="s">
        <v>937</v>
      </c>
      <c r="H202" s="10" t="n">
        <v>2024</v>
      </c>
      <c r="I202" s="10" t="s">
        <v>938</v>
      </c>
      <c r="J202" s="11" t="s">
        <v>349</v>
      </c>
      <c r="K202" s="10" t="s">
        <v>61</v>
      </c>
      <c r="L202" s="10" t="s">
        <v>939</v>
      </c>
    </row>
    <row r="203" customFormat="false" ht="35.05" hidden="false" customHeight="false" outlineLevel="0" collapsed="false">
      <c r="A203" s="10" t="s">
        <v>940</v>
      </c>
      <c r="B203" s="10" t="s">
        <v>44</v>
      </c>
      <c r="C203" s="10" t="s">
        <v>45</v>
      </c>
      <c r="D203" s="10"/>
      <c r="E203" s="10"/>
      <c r="F203" s="10" t="s">
        <v>44</v>
      </c>
      <c r="G203" s="11" t="s">
        <v>941</v>
      </c>
      <c r="H203" s="10" t="n">
        <v>2019</v>
      </c>
      <c r="I203" s="10" t="s">
        <v>108</v>
      </c>
      <c r="J203" s="11" t="s">
        <v>942</v>
      </c>
      <c r="K203" s="10" t="s">
        <v>49</v>
      </c>
      <c r="L203" s="10" t="s">
        <v>943</v>
      </c>
    </row>
    <row r="204" customFormat="false" ht="15" hidden="false" customHeight="false" outlineLevel="0" collapsed="false">
      <c r="A204" s="10" t="s">
        <v>944</v>
      </c>
      <c r="B204" s="10" t="s">
        <v>44</v>
      </c>
      <c r="C204" s="10" t="s">
        <v>45</v>
      </c>
      <c r="D204" s="10"/>
      <c r="E204" s="10"/>
      <c r="F204" s="10" t="s">
        <v>44</v>
      </c>
      <c r="G204" s="11" t="s">
        <v>945</v>
      </c>
      <c r="H204" s="10" t="n">
        <v>2026</v>
      </c>
      <c r="I204" s="10" t="s">
        <v>946</v>
      </c>
      <c r="J204" s="11" t="s">
        <v>947</v>
      </c>
      <c r="K204" s="10" t="s">
        <v>61</v>
      </c>
      <c r="L204" s="10" t="s">
        <v>948</v>
      </c>
    </row>
    <row r="205" customFormat="false" ht="23.85" hidden="false" customHeight="false" outlineLevel="0" collapsed="false">
      <c r="A205" s="10" t="s">
        <v>949</v>
      </c>
      <c r="B205" s="10" t="s">
        <v>44</v>
      </c>
      <c r="C205" s="10" t="s">
        <v>45</v>
      </c>
      <c r="D205" s="10"/>
      <c r="E205" s="10"/>
      <c r="F205" s="10" t="s">
        <v>52</v>
      </c>
      <c r="G205" s="11" t="s">
        <v>950</v>
      </c>
      <c r="H205" s="10" t="n">
        <v>2025</v>
      </c>
      <c r="I205" s="10" t="s">
        <v>951</v>
      </c>
      <c r="J205" s="11" t="s">
        <v>55</v>
      </c>
      <c r="K205" s="10" t="s">
        <v>49</v>
      </c>
      <c r="L205" s="10" t="s">
        <v>952</v>
      </c>
    </row>
    <row r="206" customFormat="false" ht="23.85" hidden="false" customHeight="false" outlineLevel="0" collapsed="false">
      <c r="A206" s="10" t="s">
        <v>953</v>
      </c>
      <c r="B206" s="10" t="s">
        <v>44</v>
      </c>
      <c r="C206" s="10" t="s">
        <v>45</v>
      </c>
      <c r="D206" s="10"/>
      <c r="E206" s="10"/>
      <c r="F206" s="10" t="s">
        <v>44</v>
      </c>
      <c r="G206" s="11" t="s">
        <v>954</v>
      </c>
      <c r="H206" s="10" t="n">
        <v>2021</v>
      </c>
      <c r="I206" s="10" t="s">
        <v>955</v>
      </c>
      <c r="J206" s="11" t="s">
        <v>956</v>
      </c>
      <c r="K206" s="10" t="s">
        <v>61</v>
      </c>
      <c r="L206" s="10" t="s">
        <v>957</v>
      </c>
    </row>
    <row r="207" customFormat="false" ht="23.85" hidden="false" customHeight="false" outlineLevel="0" collapsed="false">
      <c r="A207" s="10" t="s">
        <v>958</v>
      </c>
      <c r="B207" s="10" t="s">
        <v>44</v>
      </c>
      <c r="C207" s="10" t="s">
        <v>45</v>
      </c>
      <c r="D207" s="10"/>
      <c r="E207" s="10"/>
      <c r="F207" s="10" t="s">
        <v>44</v>
      </c>
      <c r="G207" s="11" t="s">
        <v>959</v>
      </c>
      <c r="H207" s="10" t="n">
        <v>2026</v>
      </c>
      <c r="I207" s="10" t="s">
        <v>960</v>
      </c>
      <c r="J207" s="11" t="s">
        <v>478</v>
      </c>
      <c r="K207" s="10" t="s">
        <v>61</v>
      </c>
      <c r="L207" s="10"/>
    </row>
    <row r="208" customFormat="false" ht="23.85" hidden="false" customHeight="false" outlineLevel="0" collapsed="false">
      <c r="A208" s="10" t="s">
        <v>961</v>
      </c>
      <c r="B208" s="10" t="s">
        <v>44</v>
      </c>
      <c r="C208" s="10" t="s">
        <v>45</v>
      </c>
      <c r="D208" s="10"/>
      <c r="E208" s="10"/>
      <c r="F208" s="10" t="s">
        <v>44</v>
      </c>
      <c r="G208" s="11" t="s">
        <v>962</v>
      </c>
      <c r="H208" s="10" t="n">
        <v>2023</v>
      </c>
      <c r="I208" s="10" t="s">
        <v>963</v>
      </c>
      <c r="J208" s="11" t="s">
        <v>608</v>
      </c>
      <c r="K208" s="10" t="s">
        <v>49</v>
      </c>
      <c r="L208" s="10"/>
    </row>
    <row r="209" customFormat="false" ht="15" hidden="false" customHeight="false" outlineLevel="0" collapsed="false">
      <c r="A209" s="10" t="s">
        <v>964</v>
      </c>
      <c r="B209" s="10" t="s">
        <v>44</v>
      </c>
      <c r="C209" s="10" t="s">
        <v>45</v>
      </c>
      <c r="D209" s="10"/>
      <c r="E209" s="10"/>
      <c r="F209" s="10" t="s">
        <v>44</v>
      </c>
      <c r="G209" s="11" t="s">
        <v>965</v>
      </c>
      <c r="H209" s="10" t="n">
        <v>2021</v>
      </c>
      <c r="I209" s="10" t="s">
        <v>966</v>
      </c>
      <c r="J209" s="11" t="s">
        <v>967</v>
      </c>
      <c r="K209" s="10" t="s">
        <v>61</v>
      </c>
      <c r="L209" s="10" t="s">
        <v>968</v>
      </c>
    </row>
    <row r="210" customFormat="false" ht="23.85" hidden="false" customHeight="false" outlineLevel="0" collapsed="false">
      <c r="A210" s="10" t="s">
        <v>969</v>
      </c>
      <c r="B210" s="10" t="s">
        <v>44</v>
      </c>
      <c r="C210" s="10" t="s">
        <v>45</v>
      </c>
      <c r="D210" s="10"/>
      <c r="E210" s="10"/>
      <c r="F210" s="10" t="s">
        <v>44</v>
      </c>
      <c r="G210" s="11" t="s">
        <v>970</v>
      </c>
      <c r="H210" s="10" t="n">
        <v>2021</v>
      </c>
      <c r="I210" s="10" t="s">
        <v>971</v>
      </c>
      <c r="J210" s="11" t="s">
        <v>972</v>
      </c>
      <c r="K210" s="10" t="s">
        <v>61</v>
      </c>
      <c r="L210" s="10" t="s">
        <v>973</v>
      </c>
    </row>
    <row r="211" customFormat="false" ht="23.85" hidden="false" customHeight="false" outlineLevel="0" collapsed="false">
      <c r="A211" s="10" t="s">
        <v>974</v>
      </c>
      <c r="B211" s="10" t="s">
        <v>44</v>
      </c>
      <c r="C211" s="10" t="s">
        <v>45</v>
      </c>
      <c r="D211" s="10"/>
      <c r="E211" s="10"/>
      <c r="F211" s="10" t="s">
        <v>44</v>
      </c>
      <c r="G211" s="11" t="s">
        <v>975</v>
      </c>
      <c r="H211" s="10" t="n">
        <v>2018</v>
      </c>
      <c r="I211" s="10" t="s">
        <v>976</v>
      </c>
      <c r="J211" s="11" t="s">
        <v>977</v>
      </c>
      <c r="K211" s="10" t="s">
        <v>49</v>
      </c>
      <c r="L211" s="10" t="s">
        <v>978</v>
      </c>
    </row>
    <row r="212" customFormat="false" ht="23.85" hidden="false" customHeight="false" outlineLevel="0" collapsed="false">
      <c r="A212" s="10" t="s">
        <v>979</v>
      </c>
      <c r="B212" s="10" t="s">
        <v>44</v>
      </c>
      <c r="C212" s="10" t="s">
        <v>45</v>
      </c>
      <c r="D212" s="10"/>
      <c r="E212" s="10"/>
      <c r="F212" s="10" t="s">
        <v>52</v>
      </c>
      <c r="G212" s="11" t="s">
        <v>980</v>
      </c>
      <c r="H212" s="10" t="n">
        <v>2025</v>
      </c>
      <c r="I212" s="10" t="s">
        <v>981</v>
      </c>
      <c r="J212" s="11" t="s">
        <v>55</v>
      </c>
      <c r="K212" s="10" t="s">
        <v>49</v>
      </c>
      <c r="L212" s="10" t="s">
        <v>982</v>
      </c>
    </row>
    <row r="213" customFormat="false" ht="23.85" hidden="false" customHeight="false" outlineLevel="0" collapsed="false">
      <c r="A213" s="10" t="s">
        <v>983</v>
      </c>
      <c r="B213" s="10" t="s">
        <v>44</v>
      </c>
      <c r="C213" s="10" t="s">
        <v>45</v>
      </c>
      <c r="D213" s="10"/>
      <c r="E213" s="10"/>
      <c r="F213" s="10" t="s">
        <v>44</v>
      </c>
      <c r="G213" s="11" t="s">
        <v>984</v>
      </c>
      <c r="H213" s="10" t="n">
        <v>2024</v>
      </c>
      <c r="I213" s="10" t="s">
        <v>985</v>
      </c>
      <c r="J213" s="11" t="s">
        <v>173</v>
      </c>
      <c r="K213" s="10" t="s">
        <v>49</v>
      </c>
      <c r="L213" s="10" t="s">
        <v>986</v>
      </c>
    </row>
    <row r="214" customFormat="false" ht="23.85" hidden="false" customHeight="false" outlineLevel="0" collapsed="false">
      <c r="A214" s="10" t="s">
        <v>987</v>
      </c>
      <c r="B214" s="10" t="s">
        <v>44</v>
      </c>
      <c r="C214" s="10" t="s">
        <v>45</v>
      </c>
      <c r="D214" s="10"/>
      <c r="E214" s="10"/>
      <c r="F214" s="10" t="s">
        <v>44</v>
      </c>
      <c r="G214" s="11" t="s">
        <v>988</v>
      </c>
      <c r="H214" s="10" t="n">
        <v>2025</v>
      </c>
      <c r="I214" s="10" t="s">
        <v>989</v>
      </c>
      <c r="J214" s="11" t="s">
        <v>990</v>
      </c>
      <c r="K214" s="10" t="s">
        <v>61</v>
      </c>
      <c r="L214" s="10" t="s">
        <v>991</v>
      </c>
    </row>
    <row r="215" customFormat="false" ht="35.05" hidden="false" customHeight="false" outlineLevel="0" collapsed="false">
      <c r="A215" s="10" t="s">
        <v>992</v>
      </c>
      <c r="B215" s="10" t="s">
        <v>44</v>
      </c>
      <c r="C215" s="10" t="s">
        <v>45</v>
      </c>
      <c r="D215" s="10"/>
      <c r="E215" s="10"/>
      <c r="F215" s="10" t="s">
        <v>44</v>
      </c>
      <c r="G215" s="11" t="s">
        <v>993</v>
      </c>
      <c r="H215" s="10" t="n">
        <v>2024</v>
      </c>
      <c r="I215" s="10" t="s">
        <v>994</v>
      </c>
      <c r="J215" s="11" t="s">
        <v>48</v>
      </c>
      <c r="K215" s="10" t="s">
        <v>49</v>
      </c>
      <c r="L215" s="10" t="s">
        <v>995</v>
      </c>
    </row>
    <row r="216" customFormat="false" ht="23.85" hidden="false" customHeight="false" outlineLevel="0" collapsed="false">
      <c r="A216" s="10" t="s">
        <v>996</v>
      </c>
      <c r="B216" s="10" t="s">
        <v>44</v>
      </c>
      <c r="C216" s="10" t="s">
        <v>45</v>
      </c>
      <c r="D216" s="10"/>
      <c r="E216" s="10"/>
      <c r="F216" s="10" t="s">
        <v>44</v>
      </c>
      <c r="G216" s="11" t="s">
        <v>997</v>
      </c>
      <c r="H216" s="10" t="n">
        <v>2025</v>
      </c>
      <c r="I216" s="10" t="s">
        <v>998</v>
      </c>
      <c r="J216" s="11" t="s">
        <v>273</v>
      </c>
      <c r="K216" s="10" t="s">
        <v>49</v>
      </c>
      <c r="L216" s="10"/>
    </row>
    <row r="217" customFormat="false" ht="35.05" hidden="false" customHeight="false" outlineLevel="0" collapsed="false">
      <c r="A217" s="10" t="s">
        <v>999</v>
      </c>
      <c r="B217" s="10" t="s">
        <v>44</v>
      </c>
      <c r="C217" s="10" t="s">
        <v>45</v>
      </c>
      <c r="D217" s="10"/>
      <c r="E217" s="10"/>
      <c r="F217" s="10" t="s">
        <v>44</v>
      </c>
      <c r="G217" s="11" t="s">
        <v>1000</v>
      </c>
      <c r="H217" s="10" t="n">
        <v>2019</v>
      </c>
      <c r="I217" s="10" t="s">
        <v>47</v>
      </c>
      <c r="J217" s="11" t="s">
        <v>48</v>
      </c>
      <c r="K217" s="10" t="s">
        <v>49</v>
      </c>
      <c r="L217" s="10" t="s">
        <v>1001</v>
      </c>
    </row>
    <row r="218" customFormat="false" ht="23.85" hidden="false" customHeight="false" outlineLevel="0" collapsed="false">
      <c r="A218" s="10" t="s">
        <v>1002</v>
      </c>
      <c r="B218" s="10" t="s">
        <v>44</v>
      </c>
      <c r="C218" s="10" t="s">
        <v>45</v>
      </c>
      <c r="D218" s="10"/>
      <c r="E218" s="10"/>
      <c r="F218" s="10" t="s">
        <v>44</v>
      </c>
      <c r="G218" s="11" t="s">
        <v>1003</v>
      </c>
      <c r="H218" s="10" t="n">
        <v>2022</v>
      </c>
      <c r="I218" s="10" t="s">
        <v>921</v>
      </c>
      <c r="J218" s="11" t="s">
        <v>1004</v>
      </c>
      <c r="K218" s="10" t="s">
        <v>61</v>
      </c>
      <c r="L218" s="10" t="s">
        <v>1005</v>
      </c>
    </row>
    <row r="219" customFormat="false" ht="23.85" hidden="false" customHeight="false" outlineLevel="0" collapsed="false">
      <c r="A219" s="10" t="s">
        <v>1006</v>
      </c>
      <c r="B219" s="10" t="s">
        <v>44</v>
      </c>
      <c r="C219" s="10" t="s">
        <v>45</v>
      </c>
      <c r="D219" s="10"/>
      <c r="E219" s="10"/>
      <c r="F219" s="10" t="s">
        <v>52</v>
      </c>
      <c r="G219" s="11" t="s">
        <v>1007</v>
      </c>
      <c r="H219" s="10" t="n">
        <v>2020</v>
      </c>
      <c r="I219" s="10" t="s">
        <v>1008</v>
      </c>
      <c r="J219" s="11" t="s">
        <v>1009</v>
      </c>
      <c r="K219" s="10" t="s">
        <v>49</v>
      </c>
      <c r="L219" s="10" t="s">
        <v>1010</v>
      </c>
    </row>
    <row r="220" customFormat="false" ht="23.85" hidden="false" customHeight="false" outlineLevel="0" collapsed="false">
      <c r="A220" s="10" t="s">
        <v>1011</v>
      </c>
      <c r="B220" s="10" t="s">
        <v>44</v>
      </c>
      <c r="C220" s="10" t="s">
        <v>45</v>
      </c>
      <c r="D220" s="10"/>
      <c r="E220" s="10"/>
      <c r="F220" s="10" t="s">
        <v>44</v>
      </c>
      <c r="G220" s="11" t="s">
        <v>1012</v>
      </c>
      <c r="H220" s="10" t="n">
        <v>2026</v>
      </c>
      <c r="I220" s="10" t="s">
        <v>159</v>
      </c>
      <c r="J220" s="11" t="s">
        <v>1013</v>
      </c>
      <c r="K220" s="10" t="s">
        <v>61</v>
      </c>
      <c r="L220" s="10" t="s">
        <v>1014</v>
      </c>
    </row>
    <row r="221" customFormat="false" ht="15" hidden="false" customHeight="false" outlineLevel="0" collapsed="false">
      <c r="A221" s="10" t="s">
        <v>1015</v>
      </c>
      <c r="B221" s="10" t="s">
        <v>44</v>
      </c>
      <c r="C221" s="10" t="s">
        <v>45</v>
      </c>
      <c r="D221" s="10"/>
      <c r="E221" s="10"/>
      <c r="F221" s="10" t="s">
        <v>44</v>
      </c>
      <c r="G221" s="11" t="s">
        <v>1016</v>
      </c>
      <c r="H221" s="10" t="n">
        <v>2018</v>
      </c>
      <c r="I221" s="10" t="s">
        <v>1017</v>
      </c>
      <c r="J221" s="11" t="s">
        <v>1018</v>
      </c>
      <c r="K221" s="10" t="s">
        <v>61</v>
      </c>
      <c r="L221" s="10" t="s">
        <v>1019</v>
      </c>
    </row>
    <row r="222" customFormat="false" ht="23.85" hidden="false" customHeight="false" outlineLevel="0" collapsed="false">
      <c r="A222" s="10" t="s">
        <v>1020</v>
      </c>
      <c r="B222" s="10" t="s">
        <v>44</v>
      </c>
      <c r="C222" s="10" t="s">
        <v>45</v>
      </c>
      <c r="D222" s="10"/>
      <c r="E222" s="10"/>
      <c r="F222" s="10" t="s">
        <v>44</v>
      </c>
      <c r="G222" s="11" t="s">
        <v>1021</v>
      </c>
      <c r="H222" s="10" t="n">
        <v>2024</v>
      </c>
      <c r="I222" s="10" t="s">
        <v>1022</v>
      </c>
      <c r="J222" s="11" t="s">
        <v>1023</v>
      </c>
      <c r="K222" s="10" t="s">
        <v>49</v>
      </c>
      <c r="L222" s="10" t="s">
        <v>1024</v>
      </c>
    </row>
    <row r="223" customFormat="false" ht="15" hidden="false" customHeight="false" outlineLevel="0" collapsed="false">
      <c r="A223" s="10" t="s">
        <v>1025</v>
      </c>
      <c r="B223" s="10" t="s">
        <v>44</v>
      </c>
      <c r="C223" s="10" t="s">
        <v>45</v>
      </c>
      <c r="D223" s="10"/>
      <c r="E223" s="10"/>
      <c r="F223" s="10" t="s">
        <v>44</v>
      </c>
      <c r="G223" s="11" t="s">
        <v>1026</v>
      </c>
      <c r="H223" s="10" t="n">
        <v>2026</v>
      </c>
      <c r="I223" s="10" t="s">
        <v>1027</v>
      </c>
      <c r="J223" s="11" t="s">
        <v>248</v>
      </c>
      <c r="K223" s="10" t="s">
        <v>61</v>
      </c>
      <c r="L223" s="10" t="s">
        <v>1028</v>
      </c>
    </row>
    <row r="224" customFormat="false" ht="23.85" hidden="false" customHeight="false" outlineLevel="0" collapsed="false">
      <c r="A224" s="10" t="s">
        <v>1029</v>
      </c>
      <c r="B224" s="10" t="s">
        <v>44</v>
      </c>
      <c r="C224" s="10" t="s">
        <v>45</v>
      </c>
      <c r="D224" s="10"/>
      <c r="E224" s="10"/>
      <c r="F224" s="10" t="s">
        <v>52</v>
      </c>
      <c r="G224" s="11" t="s">
        <v>1030</v>
      </c>
      <c r="H224" s="10" t="n">
        <v>2025</v>
      </c>
      <c r="I224" s="10" t="s">
        <v>874</v>
      </c>
      <c r="J224" s="11" t="s">
        <v>1031</v>
      </c>
      <c r="K224" s="10" t="s">
        <v>61</v>
      </c>
      <c r="L224" s="10" t="s">
        <v>1032</v>
      </c>
    </row>
    <row r="225" customFormat="false" ht="35.05" hidden="false" customHeight="false" outlineLevel="0" collapsed="false">
      <c r="A225" s="10" t="s">
        <v>1033</v>
      </c>
      <c r="B225" s="10" t="s">
        <v>44</v>
      </c>
      <c r="C225" s="10" t="s">
        <v>45</v>
      </c>
      <c r="D225" s="10"/>
      <c r="E225" s="10"/>
      <c r="F225" s="10" t="s">
        <v>52</v>
      </c>
      <c r="G225" s="11" t="s">
        <v>1034</v>
      </c>
      <c r="H225" s="10" t="n">
        <v>2025</v>
      </c>
      <c r="I225" s="10" t="s">
        <v>1035</v>
      </c>
      <c r="J225" s="11" t="s">
        <v>1036</v>
      </c>
      <c r="K225" s="10" t="s">
        <v>49</v>
      </c>
      <c r="L225" s="10" t="s">
        <v>1037</v>
      </c>
    </row>
    <row r="226" customFormat="false" ht="23.85" hidden="false" customHeight="false" outlineLevel="0" collapsed="false">
      <c r="A226" s="10" t="s">
        <v>1038</v>
      </c>
      <c r="B226" s="10" t="s">
        <v>44</v>
      </c>
      <c r="C226" s="10" t="s">
        <v>45</v>
      </c>
      <c r="D226" s="10"/>
      <c r="E226" s="10"/>
      <c r="F226" s="10" t="s">
        <v>52</v>
      </c>
      <c r="G226" s="11" t="s">
        <v>1039</v>
      </c>
      <c r="H226" s="10" t="n">
        <v>2024</v>
      </c>
      <c r="I226" s="10" t="s">
        <v>1040</v>
      </c>
      <c r="J226" s="11" t="s">
        <v>1041</v>
      </c>
      <c r="K226" s="10" t="s">
        <v>61</v>
      </c>
      <c r="L226" s="10" t="s">
        <v>1042</v>
      </c>
    </row>
    <row r="227" customFormat="false" ht="23.85" hidden="false" customHeight="false" outlineLevel="0" collapsed="false">
      <c r="A227" s="10" t="s">
        <v>1043</v>
      </c>
      <c r="B227" s="10" t="s">
        <v>44</v>
      </c>
      <c r="C227" s="10" t="s">
        <v>45</v>
      </c>
      <c r="D227" s="10"/>
      <c r="E227" s="10"/>
      <c r="F227" s="10" t="s">
        <v>44</v>
      </c>
      <c r="G227" s="11" t="s">
        <v>1044</v>
      </c>
      <c r="H227" s="10" t="n">
        <v>2023</v>
      </c>
      <c r="I227" s="10" t="s">
        <v>78</v>
      </c>
      <c r="J227" s="11" t="s">
        <v>608</v>
      </c>
      <c r="K227" s="10" t="s">
        <v>49</v>
      </c>
      <c r="L227" s="10"/>
    </row>
    <row r="228" customFormat="false" ht="23.85" hidden="false" customHeight="false" outlineLevel="0" collapsed="false">
      <c r="A228" s="10" t="s">
        <v>1045</v>
      </c>
      <c r="B228" s="10" t="s">
        <v>44</v>
      </c>
      <c r="C228" s="10" t="s">
        <v>45</v>
      </c>
      <c r="D228" s="10"/>
      <c r="E228" s="10"/>
      <c r="F228" s="10" t="s">
        <v>44</v>
      </c>
      <c r="G228" s="11" t="s">
        <v>1046</v>
      </c>
      <c r="H228" s="10" t="n">
        <v>2020</v>
      </c>
      <c r="I228" s="10" t="s">
        <v>1047</v>
      </c>
      <c r="J228" s="11" t="s">
        <v>1048</v>
      </c>
      <c r="K228" s="10" t="s">
        <v>61</v>
      </c>
      <c r="L228" s="10" t="s">
        <v>1049</v>
      </c>
    </row>
    <row r="229" customFormat="false" ht="23.85" hidden="false" customHeight="false" outlineLevel="0" collapsed="false">
      <c r="A229" s="10" t="s">
        <v>1050</v>
      </c>
      <c r="B229" s="10" t="s">
        <v>44</v>
      </c>
      <c r="C229" s="10" t="s">
        <v>45</v>
      </c>
      <c r="D229" s="10"/>
      <c r="E229" s="10"/>
      <c r="F229" s="10" t="s">
        <v>170</v>
      </c>
      <c r="G229" s="11" t="s">
        <v>1051</v>
      </c>
      <c r="H229" s="10" t="n">
        <v>2026</v>
      </c>
      <c r="I229" s="10" t="s">
        <v>1052</v>
      </c>
      <c r="J229" s="11" t="s">
        <v>1053</v>
      </c>
      <c r="K229" s="10" t="s">
        <v>61</v>
      </c>
      <c r="L229" s="10" t="s">
        <v>1054</v>
      </c>
    </row>
    <row r="230" customFormat="false" ht="23.85" hidden="false" customHeight="false" outlineLevel="0" collapsed="false">
      <c r="A230" s="10" t="s">
        <v>1055</v>
      </c>
      <c r="B230" s="10" t="s">
        <v>44</v>
      </c>
      <c r="C230" s="10" t="s">
        <v>45</v>
      </c>
      <c r="D230" s="10"/>
      <c r="E230" s="10"/>
      <c r="F230" s="10" t="s">
        <v>52</v>
      </c>
      <c r="G230" s="11" t="s">
        <v>1056</v>
      </c>
      <c r="H230" s="10" t="n">
        <v>2026</v>
      </c>
      <c r="I230" s="10" t="s">
        <v>1057</v>
      </c>
      <c r="J230" s="11" t="s">
        <v>1058</v>
      </c>
      <c r="K230" s="10" t="s">
        <v>61</v>
      </c>
      <c r="L230" s="10" t="s">
        <v>1059</v>
      </c>
    </row>
    <row r="231" customFormat="false" ht="23.85" hidden="false" customHeight="false" outlineLevel="0" collapsed="false">
      <c r="A231" s="10" t="s">
        <v>1060</v>
      </c>
      <c r="B231" s="10" t="s">
        <v>44</v>
      </c>
      <c r="C231" s="10" t="s">
        <v>45</v>
      </c>
      <c r="D231" s="10"/>
      <c r="E231" s="10"/>
      <c r="F231" s="10" t="s">
        <v>44</v>
      </c>
      <c r="G231" s="11" t="s">
        <v>1061</v>
      </c>
      <c r="H231" s="10" t="n">
        <v>2025</v>
      </c>
      <c r="I231" s="10" t="s">
        <v>1062</v>
      </c>
      <c r="J231" s="11" t="s">
        <v>70</v>
      </c>
      <c r="K231" s="10" t="s">
        <v>49</v>
      </c>
      <c r="L231" s="10"/>
    </row>
    <row r="232" customFormat="false" ht="35.05" hidden="false" customHeight="false" outlineLevel="0" collapsed="false">
      <c r="A232" s="10" t="s">
        <v>1063</v>
      </c>
      <c r="B232" s="10" t="s">
        <v>44</v>
      </c>
      <c r="C232" s="10" t="s">
        <v>45</v>
      </c>
      <c r="D232" s="10"/>
      <c r="E232" s="10"/>
      <c r="F232" s="10" t="s">
        <v>52</v>
      </c>
      <c r="G232" s="11" t="s">
        <v>1064</v>
      </c>
      <c r="H232" s="10" t="n">
        <v>2025</v>
      </c>
      <c r="I232" s="10" t="s">
        <v>1065</v>
      </c>
      <c r="J232" s="11" t="s">
        <v>1066</v>
      </c>
      <c r="K232" s="10" t="s">
        <v>49</v>
      </c>
      <c r="L232" s="10" t="s">
        <v>1067</v>
      </c>
    </row>
    <row r="233" customFormat="false" ht="15" hidden="false" customHeight="false" outlineLevel="0" collapsed="false">
      <c r="A233" s="10" t="s">
        <v>1068</v>
      </c>
      <c r="B233" s="10" t="s">
        <v>44</v>
      </c>
      <c r="C233" s="10" t="s">
        <v>45</v>
      </c>
      <c r="D233" s="10"/>
      <c r="E233" s="10"/>
      <c r="F233" s="10" t="s">
        <v>44</v>
      </c>
      <c r="G233" s="11" t="s">
        <v>1069</v>
      </c>
      <c r="H233" s="10" t="n">
        <v>2024</v>
      </c>
      <c r="I233" s="10" t="s">
        <v>1070</v>
      </c>
      <c r="J233" s="11" t="s">
        <v>1071</v>
      </c>
      <c r="K233" s="10" t="s">
        <v>61</v>
      </c>
      <c r="L233" s="10" t="s">
        <v>1072</v>
      </c>
    </row>
    <row r="234" customFormat="false" ht="23.85" hidden="false" customHeight="false" outlineLevel="0" collapsed="false">
      <c r="A234" s="10" t="s">
        <v>1073</v>
      </c>
      <c r="B234" s="10" t="s">
        <v>44</v>
      </c>
      <c r="C234" s="10" t="s">
        <v>45</v>
      </c>
      <c r="D234" s="10"/>
      <c r="E234" s="10"/>
      <c r="F234" s="10" t="s">
        <v>44</v>
      </c>
      <c r="G234" s="11" t="s">
        <v>1074</v>
      </c>
      <c r="H234" s="10" t="n">
        <v>2024</v>
      </c>
      <c r="I234" s="10" t="s">
        <v>874</v>
      </c>
      <c r="J234" s="11" t="s">
        <v>70</v>
      </c>
      <c r="K234" s="10" t="s">
        <v>49</v>
      </c>
      <c r="L234" s="10"/>
    </row>
    <row r="235" customFormat="false" ht="15" hidden="false" customHeight="false" outlineLevel="0" collapsed="false">
      <c r="A235" s="10" t="s">
        <v>1075</v>
      </c>
      <c r="B235" s="10" t="s">
        <v>44</v>
      </c>
      <c r="C235" s="10" t="s">
        <v>45</v>
      </c>
      <c r="D235" s="10"/>
      <c r="E235" s="10"/>
      <c r="F235" s="10" t="s">
        <v>44</v>
      </c>
      <c r="G235" s="11" t="s">
        <v>1076</v>
      </c>
      <c r="H235" s="10" t="n">
        <v>2022</v>
      </c>
      <c r="I235" s="10" t="s">
        <v>1077</v>
      </c>
      <c r="J235" s="11" t="s">
        <v>1078</v>
      </c>
      <c r="K235" s="10" t="s">
        <v>61</v>
      </c>
      <c r="L235" s="10" t="s">
        <v>1079</v>
      </c>
    </row>
    <row r="236" customFormat="false" ht="35.05" hidden="false" customHeight="false" outlineLevel="0" collapsed="false">
      <c r="A236" s="10" t="s">
        <v>1080</v>
      </c>
      <c r="B236" s="10" t="s">
        <v>44</v>
      </c>
      <c r="C236" s="10" t="s">
        <v>45</v>
      </c>
      <c r="D236" s="10"/>
      <c r="E236" s="10"/>
      <c r="F236" s="10" t="s">
        <v>44</v>
      </c>
      <c r="G236" s="11" t="s">
        <v>1081</v>
      </c>
      <c r="H236" s="10" t="n">
        <v>2021</v>
      </c>
      <c r="I236" s="10" t="s">
        <v>1082</v>
      </c>
      <c r="J236" s="11" t="s">
        <v>48</v>
      </c>
      <c r="K236" s="10" t="s">
        <v>49</v>
      </c>
      <c r="L236" s="10" t="s">
        <v>1083</v>
      </c>
    </row>
    <row r="237" customFormat="false" ht="23.85" hidden="false" customHeight="false" outlineLevel="0" collapsed="false">
      <c r="A237" s="10" t="s">
        <v>1084</v>
      </c>
      <c r="B237" s="10" t="s">
        <v>44</v>
      </c>
      <c r="C237" s="10" t="s">
        <v>45</v>
      </c>
      <c r="D237" s="10"/>
      <c r="E237" s="10"/>
      <c r="F237" s="10" t="s">
        <v>170</v>
      </c>
      <c r="G237" s="11" t="s">
        <v>1085</v>
      </c>
      <c r="H237" s="10" t="n">
        <v>2026</v>
      </c>
      <c r="I237" s="10" t="s">
        <v>1086</v>
      </c>
      <c r="J237" s="11" t="s">
        <v>1087</v>
      </c>
      <c r="K237" s="10" t="s">
        <v>49</v>
      </c>
      <c r="L237" s="10" t="s">
        <v>1088</v>
      </c>
    </row>
    <row r="238" customFormat="false" ht="23.85" hidden="false" customHeight="false" outlineLevel="0" collapsed="false">
      <c r="A238" s="10" t="s">
        <v>1089</v>
      </c>
      <c r="B238" s="10" t="s">
        <v>44</v>
      </c>
      <c r="C238" s="10" t="s">
        <v>45</v>
      </c>
      <c r="D238" s="10"/>
      <c r="E238" s="10"/>
      <c r="F238" s="10" t="s">
        <v>44</v>
      </c>
      <c r="G238" s="11" t="s">
        <v>1090</v>
      </c>
      <c r="H238" s="10" t="n">
        <v>2021</v>
      </c>
      <c r="I238" s="10" t="s">
        <v>1091</v>
      </c>
      <c r="J238" s="11" t="s">
        <v>1092</v>
      </c>
      <c r="K238" s="10" t="s">
        <v>49</v>
      </c>
      <c r="L238" s="10" t="s">
        <v>1093</v>
      </c>
    </row>
    <row r="239" customFormat="false" ht="35.05" hidden="false" customHeight="false" outlineLevel="0" collapsed="false">
      <c r="A239" s="10" t="s">
        <v>1094</v>
      </c>
      <c r="B239" s="10" t="s">
        <v>44</v>
      </c>
      <c r="C239" s="10" t="s">
        <v>45</v>
      </c>
      <c r="D239" s="10"/>
      <c r="E239" s="10"/>
      <c r="F239" s="10" t="s">
        <v>52</v>
      </c>
      <c r="G239" s="11" t="s">
        <v>1095</v>
      </c>
      <c r="H239" s="10" t="n">
        <v>2018</v>
      </c>
      <c r="I239" s="10" t="s">
        <v>108</v>
      </c>
      <c r="J239" s="11" t="s">
        <v>1096</v>
      </c>
      <c r="K239" s="10" t="s">
        <v>49</v>
      </c>
      <c r="L239" s="10" t="s">
        <v>1097</v>
      </c>
    </row>
    <row r="240" customFormat="false" ht="23.85" hidden="false" customHeight="false" outlineLevel="0" collapsed="false">
      <c r="A240" s="10" t="s">
        <v>1098</v>
      </c>
      <c r="B240" s="10" t="s">
        <v>44</v>
      </c>
      <c r="C240" s="10" t="s">
        <v>45</v>
      </c>
      <c r="D240" s="10"/>
      <c r="E240" s="10"/>
      <c r="F240" s="10" t="s">
        <v>44</v>
      </c>
      <c r="G240" s="11" t="s">
        <v>1099</v>
      </c>
      <c r="H240" s="10" t="n">
        <v>2025</v>
      </c>
      <c r="I240" s="10" t="s">
        <v>765</v>
      </c>
      <c r="J240" s="11" t="s">
        <v>70</v>
      </c>
      <c r="K240" s="10" t="s">
        <v>49</v>
      </c>
      <c r="L240" s="10"/>
    </row>
    <row r="241" customFormat="false" ht="35.05" hidden="false" customHeight="false" outlineLevel="0" collapsed="false">
      <c r="A241" s="10" t="s">
        <v>763</v>
      </c>
      <c r="B241" s="10" t="s">
        <v>44</v>
      </c>
      <c r="C241" s="10" t="s">
        <v>45</v>
      </c>
      <c r="D241" s="10"/>
      <c r="E241" s="10"/>
      <c r="F241" s="10" t="s">
        <v>170</v>
      </c>
      <c r="G241" s="11" t="s">
        <v>764</v>
      </c>
      <c r="H241" s="10" t="n">
        <v>2026</v>
      </c>
      <c r="I241" s="10" t="s">
        <v>765</v>
      </c>
      <c r="J241" s="11" t="s">
        <v>410</v>
      </c>
      <c r="K241" s="10" t="s">
        <v>49</v>
      </c>
      <c r="L241" s="10" t="s">
        <v>766</v>
      </c>
    </row>
    <row r="242" customFormat="false" ht="23.85" hidden="false" customHeight="false" outlineLevel="0" collapsed="false">
      <c r="A242" s="10" t="s">
        <v>1100</v>
      </c>
      <c r="B242" s="10" t="s">
        <v>44</v>
      </c>
      <c r="C242" s="10" t="s">
        <v>45</v>
      </c>
      <c r="D242" s="10"/>
      <c r="E242" s="10"/>
      <c r="F242" s="10" t="s">
        <v>44</v>
      </c>
      <c r="G242" s="11" t="s">
        <v>1101</v>
      </c>
      <c r="H242" s="10" t="n">
        <v>2019</v>
      </c>
      <c r="I242" s="10" t="s">
        <v>1102</v>
      </c>
      <c r="J242" s="11" t="s">
        <v>1103</v>
      </c>
      <c r="K242" s="10" t="s">
        <v>49</v>
      </c>
      <c r="L242" s="10" t="s">
        <v>1104</v>
      </c>
    </row>
    <row r="243" customFormat="false" ht="23.85" hidden="false" customHeight="false" outlineLevel="0" collapsed="false">
      <c r="A243" s="10" t="s">
        <v>1105</v>
      </c>
      <c r="B243" s="10" t="s">
        <v>44</v>
      </c>
      <c r="C243" s="10" t="s">
        <v>45</v>
      </c>
      <c r="D243" s="10"/>
      <c r="E243" s="10"/>
      <c r="F243" s="10" t="s">
        <v>44</v>
      </c>
      <c r="G243" s="11" t="s">
        <v>1106</v>
      </c>
      <c r="H243" s="10" t="n">
        <v>2024</v>
      </c>
      <c r="I243" s="10" t="s">
        <v>1107</v>
      </c>
      <c r="J243" s="11" t="s">
        <v>389</v>
      </c>
      <c r="K243" s="10" t="s">
        <v>49</v>
      </c>
      <c r="L243" s="10"/>
    </row>
    <row r="244" customFormat="false" ht="15" hidden="false" customHeight="false" outlineLevel="0" collapsed="false">
      <c r="A244" s="10" t="s">
        <v>1108</v>
      </c>
      <c r="B244" s="10" t="s">
        <v>44</v>
      </c>
      <c r="C244" s="10" t="s">
        <v>45</v>
      </c>
      <c r="D244" s="10"/>
      <c r="E244" s="10"/>
      <c r="F244" s="10" t="s">
        <v>44</v>
      </c>
      <c r="G244" s="11" t="s">
        <v>1109</v>
      </c>
      <c r="H244" s="10" t="n">
        <v>2024</v>
      </c>
      <c r="I244" s="10" t="s">
        <v>1110</v>
      </c>
      <c r="J244" s="11" t="s">
        <v>66</v>
      </c>
      <c r="K244" s="10" t="s">
        <v>49</v>
      </c>
      <c r="L244" s="10"/>
    </row>
    <row r="245" customFormat="false" ht="15" hidden="false" customHeight="false" outlineLevel="0" collapsed="false">
      <c r="A245" s="10" t="s">
        <v>1111</v>
      </c>
      <c r="B245" s="10" t="s">
        <v>44</v>
      </c>
      <c r="C245" s="10" t="s">
        <v>45</v>
      </c>
      <c r="D245" s="10"/>
      <c r="E245" s="10"/>
      <c r="F245" s="10" t="s">
        <v>44</v>
      </c>
      <c r="G245" s="11" t="s">
        <v>1112</v>
      </c>
      <c r="H245" s="10" t="n">
        <v>2024</v>
      </c>
      <c r="I245" s="10" t="s">
        <v>1113</v>
      </c>
      <c r="J245" s="11" t="s">
        <v>66</v>
      </c>
      <c r="K245" s="10" t="s">
        <v>49</v>
      </c>
      <c r="L245" s="10"/>
    </row>
    <row r="246" customFormat="false" ht="15" hidden="false" customHeight="false" outlineLevel="0" collapsed="false">
      <c r="A246" s="10" t="s">
        <v>1114</v>
      </c>
      <c r="B246" s="10" t="s">
        <v>44</v>
      </c>
      <c r="C246" s="10" t="s">
        <v>45</v>
      </c>
      <c r="D246" s="10"/>
      <c r="E246" s="10"/>
      <c r="F246" s="10" t="s">
        <v>44</v>
      </c>
      <c r="G246" s="11" t="s">
        <v>1115</v>
      </c>
      <c r="H246" s="10" t="n">
        <v>2020</v>
      </c>
      <c r="I246" s="10" t="s">
        <v>47</v>
      </c>
      <c r="J246" s="11" t="s">
        <v>832</v>
      </c>
      <c r="K246" s="10" t="s">
        <v>61</v>
      </c>
      <c r="L246" s="10" t="s">
        <v>1116</v>
      </c>
    </row>
    <row r="247" customFormat="false" ht="35.05" hidden="false" customHeight="false" outlineLevel="0" collapsed="false">
      <c r="A247" s="10" t="s">
        <v>1117</v>
      </c>
      <c r="B247" s="10" t="s">
        <v>44</v>
      </c>
      <c r="C247" s="10" t="s">
        <v>45</v>
      </c>
      <c r="D247" s="10"/>
      <c r="E247" s="10"/>
      <c r="F247" s="10" t="s">
        <v>52</v>
      </c>
      <c r="G247" s="11" t="s">
        <v>1118</v>
      </c>
      <c r="H247" s="10" t="n">
        <v>2021</v>
      </c>
      <c r="I247" s="10" t="s">
        <v>1119</v>
      </c>
      <c r="J247" s="11" t="s">
        <v>1120</v>
      </c>
      <c r="K247" s="10" t="s">
        <v>49</v>
      </c>
      <c r="L247" s="10" t="s">
        <v>1121</v>
      </c>
    </row>
    <row r="248" customFormat="false" ht="35.05" hidden="false" customHeight="false" outlineLevel="0" collapsed="false">
      <c r="A248" s="10" t="s">
        <v>1122</v>
      </c>
      <c r="B248" s="10" t="s">
        <v>44</v>
      </c>
      <c r="C248" s="10" t="s">
        <v>45</v>
      </c>
      <c r="D248" s="10"/>
      <c r="E248" s="10"/>
      <c r="F248" s="10" t="s">
        <v>44</v>
      </c>
      <c r="G248" s="11" t="s">
        <v>1123</v>
      </c>
      <c r="H248" s="10" t="n">
        <v>2018</v>
      </c>
      <c r="I248" s="10" t="s">
        <v>108</v>
      </c>
      <c r="J248" s="11" t="s">
        <v>1124</v>
      </c>
      <c r="K248" s="10" t="s">
        <v>49</v>
      </c>
      <c r="L248" s="10"/>
    </row>
    <row r="249" customFormat="false" ht="35.05" hidden="false" customHeight="false" outlineLevel="0" collapsed="false">
      <c r="A249" s="10" t="s">
        <v>1125</v>
      </c>
      <c r="B249" s="10" t="s">
        <v>44</v>
      </c>
      <c r="C249" s="10" t="s">
        <v>45</v>
      </c>
      <c r="D249" s="10"/>
      <c r="E249" s="10"/>
      <c r="F249" s="10" t="s">
        <v>44</v>
      </c>
      <c r="G249" s="11" t="s">
        <v>1126</v>
      </c>
      <c r="H249" s="10" t="n">
        <v>2023</v>
      </c>
      <c r="I249" s="10" t="s">
        <v>1127</v>
      </c>
      <c r="J249" s="11" t="s">
        <v>1128</v>
      </c>
      <c r="K249" s="10" t="s">
        <v>49</v>
      </c>
      <c r="L249" s="10"/>
    </row>
    <row r="250" customFormat="false" ht="23.85" hidden="false" customHeight="false" outlineLevel="0" collapsed="false">
      <c r="A250" s="10" t="s">
        <v>1129</v>
      </c>
      <c r="B250" s="10" t="s">
        <v>44</v>
      </c>
      <c r="C250" s="10" t="s">
        <v>45</v>
      </c>
      <c r="D250" s="10"/>
      <c r="E250" s="10"/>
      <c r="F250" s="10" t="s">
        <v>44</v>
      </c>
      <c r="G250" s="11" t="s">
        <v>1130</v>
      </c>
      <c r="H250" s="10" t="n">
        <v>2025</v>
      </c>
      <c r="I250" s="10" t="s">
        <v>1131</v>
      </c>
      <c r="J250" s="11" t="s">
        <v>1132</v>
      </c>
      <c r="K250" s="10" t="s">
        <v>61</v>
      </c>
      <c r="L250" s="10" t="s">
        <v>1133</v>
      </c>
    </row>
    <row r="251" customFormat="false" ht="35.05" hidden="false" customHeight="false" outlineLevel="0" collapsed="false">
      <c r="A251" s="10" t="s">
        <v>1134</v>
      </c>
      <c r="B251" s="10" t="s">
        <v>44</v>
      </c>
      <c r="C251" s="10" t="s">
        <v>45</v>
      </c>
      <c r="D251" s="10"/>
      <c r="E251" s="10"/>
      <c r="F251" s="10" t="s">
        <v>52</v>
      </c>
      <c r="G251" s="11" t="s">
        <v>1135</v>
      </c>
      <c r="H251" s="10" t="n">
        <v>2023</v>
      </c>
      <c r="I251" s="10" t="s">
        <v>1136</v>
      </c>
      <c r="J251" s="11" t="s">
        <v>1137</v>
      </c>
      <c r="K251" s="10" t="s">
        <v>49</v>
      </c>
      <c r="L251" s="10" t="s">
        <v>1138</v>
      </c>
    </row>
    <row r="252" customFormat="false" ht="23.85" hidden="false" customHeight="false" outlineLevel="0" collapsed="false">
      <c r="A252" s="10" t="s">
        <v>1139</v>
      </c>
      <c r="B252" s="10" t="s">
        <v>44</v>
      </c>
      <c r="C252" s="10" t="s">
        <v>45</v>
      </c>
      <c r="D252" s="10"/>
      <c r="E252" s="10"/>
      <c r="F252" s="10" t="s">
        <v>44</v>
      </c>
      <c r="G252" s="11" t="s">
        <v>1140</v>
      </c>
      <c r="H252" s="10" t="n">
        <v>2026</v>
      </c>
      <c r="I252" s="10" t="s">
        <v>1141</v>
      </c>
      <c r="J252" s="11" t="s">
        <v>321</v>
      </c>
      <c r="K252" s="10" t="s">
        <v>49</v>
      </c>
      <c r="L252" s="10" t="s">
        <v>1142</v>
      </c>
    </row>
    <row r="253" customFormat="false" ht="15" hidden="false" customHeight="false" outlineLevel="0" collapsed="false">
      <c r="A253" s="10" t="s">
        <v>1143</v>
      </c>
      <c r="B253" s="10" t="s">
        <v>44</v>
      </c>
      <c r="C253" s="10" t="s">
        <v>45</v>
      </c>
      <c r="D253" s="10"/>
      <c r="E253" s="10"/>
      <c r="F253" s="10" t="s">
        <v>44</v>
      </c>
      <c r="G253" s="11" t="s">
        <v>1144</v>
      </c>
      <c r="H253" s="10" t="n">
        <v>2026</v>
      </c>
      <c r="I253" s="10" t="s">
        <v>1145</v>
      </c>
      <c r="J253" s="11" t="s">
        <v>478</v>
      </c>
      <c r="K253" s="10" t="s">
        <v>61</v>
      </c>
      <c r="L253" s="10"/>
    </row>
    <row r="254" customFormat="false" ht="23.85" hidden="false" customHeight="false" outlineLevel="0" collapsed="false">
      <c r="A254" s="10" t="s">
        <v>1146</v>
      </c>
      <c r="B254" s="10" t="s">
        <v>44</v>
      </c>
      <c r="C254" s="10" t="s">
        <v>45</v>
      </c>
      <c r="D254" s="10"/>
      <c r="E254" s="10"/>
      <c r="F254" s="10" t="s">
        <v>170</v>
      </c>
      <c r="G254" s="11" t="s">
        <v>1147</v>
      </c>
      <c r="H254" s="10" t="n">
        <v>2024</v>
      </c>
      <c r="I254" s="10" t="s">
        <v>1148</v>
      </c>
      <c r="J254" s="11" t="s">
        <v>977</v>
      </c>
      <c r="K254" s="10" t="s">
        <v>49</v>
      </c>
      <c r="L254" s="10" t="s">
        <v>1149</v>
      </c>
    </row>
    <row r="255" customFormat="false" ht="23.85" hidden="false" customHeight="false" outlineLevel="0" collapsed="false">
      <c r="A255" s="10" t="s">
        <v>1150</v>
      </c>
      <c r="B255" s="10" t="s">
        <v>44</v>
      </c>
      <c r="C255" s="10" t="s">
        <v>45</v>
      </c>
      <c r="D255" s="10"/>
      <c r="E255" s="10"/>
      <c r="F255" s="10" t="s">
        <v>44</v>
      </c>
      <c r="G255" s="11" t="s">
        <v>1151</v>
      </c>
      <c r="H255" s="10" t="n">
        <v>2026</v>
      </c>
      <c r="I255" s="10" t="s">
        <v>874</v>
      </c>
      <c r="J255" s="11" t="s">
        <v>418</v>
      </c>
      <c r="K255" s="10" t="s">
        <v>49</v>
      </c>
      <c r="L255" s="10" t="s">
        <v>1152</v>
      </c>
    </row>
    <row r="256" customFormat="false" ht="23.85" hidden="false" customHeight="false" outlineLevel="0" collapsed="false">
      <c r="A256" s="10" t="s">
        <v>1153</v>
      </c>
      <c r="B256" s="10" t="s">
        <v>44</v>
      </c>
      <c r="C256" s="10" t="s">
        <v>45</v>
      </c>
      <c r="D256" s="10"/>
      <c r="E256" s="10"/>
      <c r="F256" s="10" t="s">
        <v>44</v>
      </c>
      <c r="G256" s="11" t="s">
        <v>1154</v>
      </c>
      <c r="H256" s="10" t="n">
        <v>2024</v>
      </c>
      <c r="I256" s="10" t="s">
        <v>1155</v>
      </c>
      <c r="J256" s="11" t="s">
        <v>1156</v>
      </c>
      <c r="K256" s="10" t="s">
        <v>49</v>
      </c>
      <c r="L256" s="10" t="s">
        <v>1157</v>
      </c>
    </row>
    <row r="257" customFormat="false" ht="15" hidden="false" customHeight="false" outlineLevel="0" collapsed="false">
      <c r="A257" s="10" t="s">
        <v>1158</v>
      </c>
      <c r="B257" s="10" t="s">
        <v>44</v>
      </c>
      <c r="C257" s="10" t="s">
        <v>45</v>
      </c>
      <c r="D257" s="10"/>
      <c r="E257" s="10"/>
      <c r="F257" s="10" t="s">
        <v>44</v>
      </c>
      <c r="G257" s="11" t="s">
        <v>1159</v>
      </c>
      <c r="H257" s="10" t="n">
        <v>2026</v>
      </c>
      <c r="I257" s="10" t="s">
        <v>1160</v>
      </c>
      <c r="J257" s="11" t="s">
        <v>1161</v>
      </c>
      <c r="K257" s="10" t="s">
        <v>49</v>
      </c>
      <c r="L257" s="10" t="s">
        <v>1162</v>
      </c>
    </row>
    <row r="258" customFormat="false" ht="46.25" hidden="false" customHeight="false" outlineLevel="0" collapsed="false">
      <c r="A258" s="10" t="s">
        <v>1163</v>
      </c>
      <c r="B258" s="10" t="s">
        <v>44</v>
      </c>
      <c r="C258" s="10" t="s">
        <v>45</v>
      </c>
      <c r="D258" s="10"/>
      <c r="E258" s="10"/>
      <c r="F258" s="10" t="s">
        <v>52</v>
      </c>
      <c r="G258" s="11" t="s">
        <v>1164</v>
      </c>
      <c r="H258" s="10" t="n">
        <v>2022</v>
      </c>
      <c r="I258" s="10" t="s">
        <v>1165</v>
      </c>
      <c r="J258" s="11" t="s">
        <v>1166</v>
      </c>
      <c r="K258" s="10" t="s">
        <v>49</v>
      </c>
      <c r="L258" s="10" t="s">
        <v>1167</v>
      </c>
    </row>
    <row r="259" customFormat="false" ht="23.85" hidden="false" customHeight="false" outlineLevel="0" collapsed="false">
      <c r="A259" s="10" t="s">
        <v>1168</v>
      </c>
      <c r="B259" s="10" t="s">
        <v>44</v>
      </c>
      <c r="C259" s="10" t="s">
        <v>45</v>
      </c>
      <c r="D259" s="10"/>
      <c r="E259" s="10"/>
      <c r="F259" s="10" t="s">
        <v>52</v>
      </c>
      <c r="G259" s="11" t="s">
        <v>1169</v>
      </c>
      <c r="H259" s="10" t="n">
        <v>2026</v>
      </c>
      <c r="I259" s="10" t="s">
        <v>1170</v>
      </c>
      <c r="J259" s="11" t="s">
        <v>1171</v>
      </c>
      <c r="K259" s="10" t="s">
        <v>49</v>
      </c>
      <c r="L259" s="10" t="s">
        <v>1172</v>
      </c>
    </row>
    <row r="260" customFormat="false" ht="35.05" hidden="false" customHeight="false" outlineLevel="0" collapsed="false">
      <c r="A260" s="10" t="s">
        <v>1173</v>
      </c>
      <c r="B260" s="10" t="s">
        <v>44</v>
      </c>
      <c r="C260" s="10" t="s">
        <v>45</v>
      </c>
      <c r="D260" s="10"/>
      <c r="E260" s="10"/>
      <c r="F260" s="10" t="s">
        <v>44</v>
      </c>
      <c r="G260" s="11" t="s">
        <v>1174</v>
      </c>
      <c r="H260" s="10" t="n">
        <v>2020</v>
      </c>
      <c r="I260" s="10" t="s">
        <v>1175</v>
      </c>
      <c r="J260" s="11" t="s">
        <v>48</v>
      </c>
      <c r="K260" s="10" t="s">
        <v>49</v>
      </c>
      <c r="L260" s="10" t="s">
        <v>1176</v>
      </c>
    </row>
    <row r="261" customFormat="false" ht="23.85" hidden="false" customHeight="false" outlineLevel="0" collapsed="false">
      <c r="A261" s="10" t="s">
        <v>1177</v>
      </c>
      <c r="B261" s="10" t="s">
        <v>44</v>
      </c>
      <c r="C261" s="10" t="s">
        <v>45</v>
      </c>
      <c r="D261" s="10"/>
      <c r="E261" s="10"/>
      <c r="F261" s="10" t="s">
        <v>52</v>
      </c>
      <c r="G261" s="11" t="s">
        <v>1178</v>
      </c>
      <c r="H261" s="10" t="n">
        <v>2021</v>
      </c>
      <c r="I261" s="10" t="s">
        <v>1179</v>
      </c>
      <c r="J261" s="11" t="s">
        <v>769</v>
      </c>
      <c r="K261" s="10" t="s">
        <v>49</v>
      </c>
      <c r="L261" s="10" t="s">
        <v>1180</v>
      </c>
    </row>
    <row r="262" customFormat="false" ht="23.85" hidden="false" customHeight="false" outlineLevel="0" collapsed="false">
      <c r="A262" s="10" t="s">
        <v>1181</v>
      </c>
      <c r="B262" s="10" t="s">
        <v>44</v>
      </c>
      <c r="C262" s="10" t="s">
        <v>45</v>
      </c>
      <c r="D262" s="10"/>
      <c r="E262" s="10"/>
      <c r="F262" s="10" t="s">
        <v>44</v>
      </c>
      <c r="G262" s="11" t="s">
        <v>1182</v>
      </c>
      <c r="H262" s="10" t="n">
        <v>2025</v>
      </c>
      <c r="I262" s="10" t="s">
        <v>1183</v>
      </c>
      <c r="J262" s="11" t="s">
        <v>70</v>
      </c>
      <c r="K262" s="10" t="s">
        <v>49</v>
      </c>
      <c r="L262" s="10"/>
    </row>
    <row r="263" customFormat="false" ht="23.85" hidden="false" customHeight="false" outlineLevel="0" collapsed="false">
      <c r="A263" s="10" t="s">
        <v>1184</v>
      </c>
      <c r="B263" s="10" t="s">
        <v>44</v>
      </c>
      <c r="C263" s="10" t="s">
        <v>45</v>
      </c>
      <c r="D263" s="10"/>
      <c r="E263" s="10"/>
      <c r="F263" s="10" t="s">
        <v>52</v>
      </c>
      <c r="G263" s="11" t="s">
        <v>1185</v>
      </c>
      <c r="H263" s="10" t="n">
        <v>2026</v>
      </c>
      <c r="I263" s="10" t="s">
        <v>432</v>
      </c>
      <c r="J263" s="11" t="s">
        <v>1058</v>
      </c>
      <c r="K263" s="10" t="s">
        <v>61</v>
      </c>
      <c r="L263" s="10" t="s">
        <v>1186</v>
      </c>
    </row>
    <row r="264" customFormat="false" ht="23.85" hidden="false" customHeight="false" outlineLevel="0" collapsed="false">
      <c r="A264" s="10" t="s">
        <v>1187</v>
      </c>
      <c r="B264" s="10" t="s">
        <v>44</v>
      </c>
      <c r="C264" s="10" t="s">
        <v>45</v>
      </c>
      <c r="D264" s="10"/>
      <c r="E264" s="10"/>
      <c r="F264" s="10" t="s">
        <v>44</v>
      </c>
      <c r="G264" s="11" t="s">
        <v>1188</v>
      </c>
      <c r="H264" s="10" t="n">
        <v>2025</v>
      </c>
      <c r="I264" s="10" t="s">
        <v>1189</v>
      </c>
      <c r="J264" s="11" t="s">
        <v>273</v>
      </c>
      <c r="K264" s="10" t="s">
        <v>49</v>
      </c>
      <c r="L264" s="10"/>
    </row>
    <row r="265" customFormat="false" ht="23.85" hidden="false" customHeight="false" outlineLevel="0" collapsed="false">
      <c r="A265" s="10" t="s">
        <v>1190</v>
      </c>
      <c r="B265" s="10" t="s">
        <v>44</v>
      </c>
      <c r="C265" s="10" t="s">
        <v>45</v>
      </c>
      <c r="D265" s="10"/>
      <c r="E265" s="10"/>
      <c r="F265" s="10" t="s">
        <v>52</v>
      </c>
      <c r="G265" s="11" t="s">
        <v>1191</v>
      </c>
      <c r="H265" s="10" t="n">
        <v>2024</v>
      </c>
      <c r="I265" s="10" t="s">
        <v>1192</v>
      </c>
      <c r="J265" s="11" t="s">
        <v>349</v>
      </c>
      <c r="K265" s="10" t="s">
        <v>61</v>
      </c>
      <c r="L265" s="10" t="s">
        <v>1193</v>
      </c>
    </row>
    <row r="266" customFormat="false" ht="23.85" hidden="false" customHeight="false" outlineLevel="0" collapsed="false">
      <c r="A266" s="10" t="s">
        <v>1194</v>
      </c>
      <c r="B266" s="10" t="s">
        <v>44</v>
      </c>
      <c r="C266" s="10" t="s">
        <v>45</v>
      </c>
      <c r="D266" s="10"/>
      <c r="E266" s="10"/>
      <c r="F266" s="10" t="s">
        <v>52</v>
      </c>
      <c r="G266" s="11" t="s">
        <v>1195</v>
      </c>
      <c r="H266" s="10" t="n">
        <v>2022</v>
      </c>
      <c r="I266" s="10" t="s">
        <v>1196</v>
      </c>
      <c r="J266" s="11" t="s">
        <v>82</v>
      </c>
      <c r="K266" s="10" t="s">
        <v>49</v>
      </c>
      <c r="L266" s="10" t="s">
        <v>1197</v>
      </c>
    </row>
    <row r="267" customFormat="false" ht="23.85" hidden="false" customHeight="false" outlineLevel="0" collapsed="false">
      <c r="A267" s="10" t="s">
        <v>1198</v>
      </c>
      <c r="B267" s="10" t="s">
        <v>44</v>
      </c>
      <c r="C267" s="10" t="s">
        <v>45</v>
      </c>
      <c r="D267" s="10"/>
      <c r="E267" s="10"/>
      <c r="F267" s="10" t="s">
        <v>44</v>
      </c>
      <c r="G267" s="11" t="s">
        <v>1199</v>
      </c>
      <c r="H267" s="10" t="n">
        <v>2024</v>
      </c>
      <c r="I267" s="10" t="s">
        <v>1200</v>
      </c>
      <c r="J267" s="11" t="s">
        <v>1201</v>
      </c>
      <c r="K267" s="10" t="s">
        <v>61</v>
      </c>
      <c r="L267" s="10" t="s">
        <v>1202</v>
      </c>
    </row>
    <row r="268" customFormat="false" ht="23.85" hidden="false" customHeight="false" outlineLevel="0" collapsed="false">
      <c r="A268" s="10" t="s">
        <v>1203</v>
      </c>
      <c r="B268" s="10" t="s">
        <v>44</v>
      </c>
      <c r="C268" s="10" t="s">
        <v>45</v>
      </c>
      <c r="D268" s="10"/>
      <c r="E268" s="10"/>
      <c r="F268" s="10" t="s">
        <v>44</v>
      </c>
      <c r="G268" s="11" t="s">
        <v>1204</v>
      </c>
      <c r="H268" s="10" t="n">
        <v>2025</v>
      </c>
      <c r="I268" s="10" t="s">
        <v>1205</v>
      </c>
      <c r="J268" s="11" t="s">
        <v>1206</v>
      </c>
      <c r="K268" s="10" t="s">
        <v>61</v>
      </c>
      <c r="L268" s="10" t="s">
        <v>1207</v>
      </c>
    </row>
    <row r="269" customFormat="false" ht="23.85" hidden="false" customHeight="false" outlineLevel="0" collapsed="false">
      <c r="A269" s="10" t="s">
        <v>1208</v>
      </c>
      <c r="B269" s="10" t="s">
        <v>44</v>
      </c>
      <c r="C269" s="10" t="s">
        <v>45</v>
      </c>
      <c r="D269" s="10"/>
      <c r="E269" s="10"/>
      <c r="F269" s="10" t="s">
        <v>44</v>
      </c>
      <c r="G269" s="11" t="s">
        <v>1209</v>
      </c>
      <c r="H269" s="10" t="n">
        <v>2024</v>
      </c>
      <c r="I269" s="10" t="s">
        <v>1210</v>
      </c>
      <c r="J269" s="11" t="s">
        <v>1058</v>
      </c>
      <c r="K269" s="10" t="s">
        <v>61</v>
      </c>
      <c r="L269" s="10" t="s">
        <v>1211</v>
      </c>
    </row>
    <row r="270" customFormat="false" ht="15" hidden="false" customHeight="false" outlineLevel="0" collapsed="false">
      <c r="A270" s="10" t="s">
        <v>1212</v>
      </c>
      <c r="B270" s="10" t="s">
        <v>44</v>
      </c>
      <c r="C270" s="10" t="s">
        <v>45</v>
      </c>
      <c r="D270" s="10"/>
      <c r="E270" s="10"/>
      <c r="F270" s="10" t="s">
        <v>44</v>
      </c>
      <c r="G270" s="11" t="s">
        <v>1213</v>
      </c>
      <c r="H270" s="10" t="n">
        <v>2023</v>
      </c>
      <c r="I270" s="10" t="s">
        <v>1214</v>
      </c>
      <c r="J270" s="11" t="s">
        <v>1215</v>
      </c>
      <c r="K270" s="10" t="s">
        <v>61</v>
      </c>
      <c r="L270" s="10" t="s">
        <v>1216</v>
      </c>
    </row>
    <row r="271" customFormat="false" ht="23.85" hidden="false" customHeight="false" outlineLevel="0" collapsed="false">
      <c r="A271" s="10" t="s">
        <v>1217</v>
      </c>
      <c r="B271" s="10" t="s">
        <v>44</v>
      </c>
      <c r="C271" s="10" t="s">
        <v>45</v>
      </c>
      <c r="D271" s="10"/>
      <c r="E271" s="10"/>
      <c r="F271" s="10" t="s">
        <v>44</v>
      </c>
      <c r="G271" s="11" t="s">
        <v>1218</v>
      </c>
      <c r="H271" s="10" t="n">
        <v>2023</v>
      </c>
      <c r="I271" s="10" t="s">
        <v>1219</v>
      </c>
      <c r="J271" s="11" t="s">
        <v>1220</v>
      </c>
      <c r="K271" s="10" t="s">
        <v>49</v>
      </c>
      <c r="L271" s="10"/>
    </row>
    <row r="272" customFormat="false" ht="23.85" hidden="false" customHeight="false" outlineLevel="0" collapsed="false">
      <c r="A272" s="10" t="s">
        <v>1221</v>
      </c>
      <c r="B272" s="10" t="s">
        <v>44</v>
      </c>
      <c r="C272" s="10" t="s">
        <v>45</v>
      </c>
      <c r="D272" s="10"/>
      <c r="E272" s="10"/>
      <c r="F272" s="10" t="s">
        <v>44</v>
      </c>
      <c r="G272" s="11" t="s">
        <v>1222</v>
      </c>
      <c r="H272" s="10" t="n">
        <v>2018</v>
      </c>
      <c r="I272" s="10" t="s">
        <v>1223</v>
      </c>
      <c r="J272" s="11" t="s">
        <v>1224</v>
      </c>
      <c r="K272" s="10" t="s">
        <v>49</v>
      </c>
      <c r="L272" s="10" t="s">
        <v>1225</v>
      </c>
    </row>
    <row r="273" customFormat="false" ht="15" hidden="false" customHeight="false" outlineLevel="0" collapsed="false">
      <c r="A273" s="10" t="s">
        <v>1226</v>
      </c>
      <c r="B273" s="10" t="s">
        <v>44</v>
      </c>
      <c r="C273" s="10" t="s">
        <v>45</v>
      </c>
      <c r="D273" s="10"/>
      <c r="E273" s="10"/>
      <c r="F273" s="10" t="s">
        <v>44</v>
      </c>
      <c r="G273" s="11" t="s">
        <v>1227</v>
      </c>
      <c r="H273" s="10" t="n">
        <v>2025</v>
      </c>
      <c r="I273" s="10" t="s">
        <v>1228</v>
      </c>
      <c r="J273" s="11" t="s">
        <v>1229</v>
      </c>
      <c r="K273" s="10" t="s">
        <v>61</v>
      </c>
      <c r="L273" s="10" t="s">
        <v>1230</v>
      </c>
    </row>
    <row r="274" customFormat="false" ht="35.05" hidden="false" customHeight="false" outlineLevel="0" collapsed="false">
      <c r="A274" s="10" t="s">
        <v>1231</v>
      </c>
      <c r="B274" s="10" t="s">
        <v>44</v>
      </c>
      <c r="C274" s="10" t="s">
        <v>45</v>
      </c>
      <c r="D274" s="10"/>
      <c r="E274" s="10"/>
      <c r="F274" s="10" t="s">
        <v>170</v>
      </c>
      <c r="G274" s="11" t="s">
        <v>1232</v>
      </c>
      <c r="H274" s="10" t="n">
        <v>2024</v>
      </c>
      <c r="I274" s="10" t="s">
        <v>1233</v>
      </c>
      <c r="J274" s="11" t="s">
        <v>410</v>
      </c>
      <c r="K274" s="10" t="s">
        <v>49</v>
      </c>
      <c r="L274" s="10"/>
    </row>
    <row r="275" customFormat="false" ht="23.85" hidden="false" customHeight="false" outlineLevel="0" collapsed="false">
      <c r="A275" s="10" t="s">
        <v>1234</v>
      </c>
      <c r="B275" s="10" t="s">
        <v>44</v>
      </c>
      <c r="C275" s="10" t="s">
        <v>45</v>
      </c>
      <c r="D275" s="10"/>
      <c r="E275" s="10"/>
      <c r="F275" s="10" t="s">
        <v>52</v>
      </c>
      <c r="G275" s="11" t="s">
        <v>1235</v>
      </c>
      <c r="H275" s="10" t="n">
        <v>2025</v>
      </c>
      <c r="I275" s="10" t="s">
        <v>1236</v>
      </c>
      <c r="J275" s="11" t="s">
        <v>55</v>
      </c>
      <c r="K275" s="10" t="s">
        <v>49</v>
      </c>
      <c r="L275" s="10" t="s">
        <v>1237</v>
      </c>
    </row>
    <row r="276" customFormat="false" ht="23.85" hidden="false" customHeight="false" outlineLevel="0" collapsed="false">
      <c r="A276" s="10" t="s">
        <v>1238</v>
      </c>
      <c r="B276" s="10" t="s">
        <v>44</v>
      </c>
      <c r="C276" s="10" t="s">
        <v>45</v>
      </c>
      <c r="D276" s="10"/>
      <c r="E276" s="10"/>
      <c r="F276" s="10" t="s">
        <v>52</v>
      </c>
      <c r="G276" s="11" t="s">
        <v>1239</v>
      </c>
      <c r="H276" s="10" t="n">
        <v>2022</v>
      </c>
      <c r="I276" s="10" t="s">
        <v>1240</v>
      </c>
      <c r="J276" s="11" t="s">
        <v>1241</v>
      </c>
      <c r="K276" s="10" t="s">
        <v>61</v>
      </c>
      <c r="L276" s="10" t="s">
        <v>1242</v>
      </c>
    </row>
    <row r="277" customFormat="false" ht="23.85" hidden="false" customHeight="false" outlineLevel="0" collapsed="false">
      <c r="A277" s="10" t="s">
        <v>1243</v>
      </c>
      <c r="B277" s="10" t="s">
        <v>44</v>
      </c>
      <c r="C277" s="10" t="s">
        <v>45</v>
      </c>
      <c r="D277" s="10"/>
      <c r="E277" s="10"/>
      <c r="F277" s="10" t="s">
        <v>44</v>
      </c>
      <c r="G277" s="11" t="s">
        <v>1244</v>
      </c>
      <c r="H277" s="10" t="n">
        <v>2026</v>
      </c>
      <c r="I277" s="10" t="s">
        <v>1245</v>
      </c>
      <c r="J277" s="11" t="s">
        <v>1246</v>
      </c>
      <c r="K277" s="10" t="s">
        <v>61</v>
      </c>
      <c r="L277" s="10" t="s">
        <v>1247</v>
      </c>
    </row>
    <row r="278" customFormat="false" ht="46.25" hidden="false" customHeight="false" outlineLevel="0" collapsed="false">
      <c r="A278" s="10" t="s">
        <v>1248</v>
      </c>
      <c r="B278" s="10" t="s">
        <v>44</v>
      </c>
      <c r="C278" s="10" t="s">
        <v>45</v>
      </c>
      <c r="D278" s="10"/>
      <c r="E278" s="10"/>
      <c r="F278" s="10" t="s">
        <v>52</v>
      </c>
      <c r="G278" s="11" t="s">
        <v>1249</v>
      </c>
      <c r="H278" s="10" t="n">
        <v>2025</v>
      </c>
      <c r="I278" s="10" t="s">
        <v>1250</v>
      </c>
      <c r="J278" s="11" t="s">
        <v>1251</v>
      </c>
      <c r="K278" s="10" t="s">
        <v>49</v>
      </c>
      <c r="L278" s="10" t="s">
        <v>1252</v>
      </c>
    </row>
    <row r="279" customFormat="false" ht="35.05" hidden="false" customHeight="false" outlineLevel="0" collapsed="false">
      <c r="A279" s="10" t="s">
        <v>1253</v>
      </c>
      <c r="B279" s="10" t="s">
        <v>44</v>
      </c>
      <c r="C279" s="10" t="s">
        <v>45</v>
      </c>
      <c r="D279" s="10"/>
      <c r="E279" s="10"/>
      <c r="F279" s="10" t="s">
        <v>44</v>
      </c>
      <c r="G279" s="11" t="s">
        <v>1254</v>
      </c>
      <c r="H279" s="10" t="n">
        <v>2021</v>
      </c>
      <c r="I279" s="10" t="s">
        <v>1255</v>
      </c>
      <c r="J279" s="11" t="s">
        <v>1256</v>
      </c>
      <c r="K279" s="10" t="s">
        <v>49</v>
      </c>
      <c r="L279" s="10" t="s">
        <v>1257</v>
      </c>
    </row>
    <row r="280" customFormat="false" ht="15" hidden="false" customHeight="false" outlineLevel="0" collapsed="false">
      <c r="A280" s="10" t="s">
        <v>1258</v>
      </c>
      <c r="B280" s="10" t="s">
        <v>44</v>
      </c>
      <c r="C280" s="10" t="s">
        <v>45</v>
      </c>
      <c r="D280" s="10"/>
      <c r="E280" s="10"/>
      <c r="F280" s="10" t="s">
        <v>44</v>
      </c>
      <c r="G280" s="11" t="s">
        <v>1259</v>
      </c>
      <c r="H280" s="10" t="n">
        <v>2025</v>
      </c>
      <c r="I280" s="10" t="s">
        <v>1082</v>
      </c>
      <c r="J280" s="11" t="s">
        <v>1260</v>
      </c>
      <c r="K280" s="10" t="s">
        <v>61</v>
      </c>
      <c r="L280" s="10" t="s">
        <v>1261</v>
      </c>
    </row>
    <row r="281" customFormat="false" ht="35.05" hidden="false" customHeight="false" outlineLevel="0" collapsed="false">
      <c r="A281" s="10" t="s">
        <v>1262</v>
      </c>
      <c r="B281" s="10" t="s">
        <v>44</v>
      </c>
      <c r="C281" s="10" t="s">
        <v>45</v>
      </c>
      <c r="D281" s="10"/>
      <c r="E281" s="10"/>
      <c r="F281" s="10" t="s">
        <v>44</v>
      </c>
      <c r="G281" s="11" t="s">
        <v>1263</v>
      </c>
      <c r="H281" s="10" t="n">
        <v>2024</v>
      </c>
      <c r="I281" s="10" t="s">
        <v>1264</v>
      </c>
      <c r="J281" s="11" t="s">
        <v>48</v>
      </c>
      <c r="K281" s="10" t="s">
        <v>49</v>
      </c>
      <c r="L281" s="10" t="s">
        <v>1265</v>
      </c>
    </row>
    <row r="282" customFormat="false" ht="15" hidden="false" customHeight="false" outlineLevel="0" collapsed="false">
      <c r="A282" s="10" t="s">
        <v>1266</v>
      </c>
      <c r="B282" s="10" t="s">
        <v>44</v>
      </c>
      <c r="C282" s="10" t="s">
        <v>45</v>
      </c>
      <c r="D282" s="10"/>
      <c r="E282" s="10"/>
      <c r="F282" s="10" t="s">
        <v>44</v>
      </c>
      <c r="G282" s="11" t="s">
        <v>1267</v>
      </c>
      <c r="H282" s="10" t="n">
        <v>2024</v>
      </c>
      <c r="I282" s="10" t="s">
        <v>1268</v>
      </c>
      <c r="J282" s="11" t="s">
        <v>1269</v>
      </c>
      <c r="K282" s="10" t="s">
        <v>61</v>
      </c>
      <c r="L282" s="10" t="s">
        <v>1270</v>
      </c>
    </row>
    <row r="283" customFormat="false" ht="23.85" hidden="false" customHeight="false" outlineLevel="0" collapsed="false">
      <c r="A283" s="10" t="s">
        <v>1271</v>
      </c>
      <c r="B283" s="10" t="s">
        <v>44</v>
      </c>
      <c r="C283" s="10" t="s">
        <v>45</v>
      </c>
      <c r="D283" s="10"/>
      <c r="E283" s="10"/>
      <c r="F283" s="10" t="s">
        <v>44</v>
      </c>
      <c r="G283" s="11" t="s">
        <v>1272</v>
      </c>
      <c r="H283" s="10" t="n">
        <v>2024</v>
      </c>
      <c r="I283" s="10" t="s">
        <v>1210</v>
      </c>
      <c r="J283" s="11" t="s">
        <v>66</v>
      </c>
      <c r="K283" s="10" t="s">
        <v>49</v>
      </c>
      <c r="L283" s="10"/>
    </row>
    <row r="284" customFormat="false" ht="35.05" hidden="false" customHeight="false" outlineLevel="0" collapsed="false">
      <c r="A284" s="10" t="s">
        <v>1273</v>
      </c>
      <c r="B284" s="10" t="s">
        <v>44</v>
      </c>
      <c r="C284" s="10" t="s">
        <v>45</v>
      </c>
      <c r="D284" s="10"/>
      <c r="E284" s="10"/>
      <c r="F284" s="10" t="s">
        <v>44</v>
      </c>
      <c r="G284" s="11" t="s">
        <v>1274</v>
      </c>
      <c r="H284" s="10" t="n">
        <v>2024</v>
      </c>
      <c r="I284" s="10" t="s">
        <v>1275</v>
      </c>
      <c r="J284" s="11" t="s">
        <v>48</v>
      </c>
      <c r="K284" s="10" t="s">
        <v>49</v>
      </c>
      <c r="L284" s="10" t="s">
        <v>1276</v>
      </c>
    </row>
    <row r="285" customFormat="false" ht="35.05" hidden="false" customHeight="false" outlineLevel="0" collapsed="false">
      <c r="A285" s="10" t="s">
        <v>1277</v>
      </c>
      <c r="B285" s="10" t="s">
        <v>44</v>
      </c>
      <c r="C285" s="10" t="s">
        <v>45</v>
      </c>
      <c r="D285" s="10"/>
      <c r="E285" s="10"/>
      <c r="F285" s="10" t="s">
        <v>52</v>
      </c>
      <c r="G285" s="11" t="s">
        <v>1278</v>
      </c>
      <c r="H285" s="10" t="n">
        <v>2025</v>
      </c>
      <c r="I285" s="10" t="s">
        <v>1279</v>
      </c>
      <c r="J285" s="11" t="s">
        <v>1280</v>
      </c>
      <c r="K285" s="10" t="s">
        <v>49</v>
      </c>
      <c r="L285" s="10" t="s">
        <v>1281</v>
      </c>
    </row>
    <row r="286" customFormat="false" ht="15" hidden="false" customHeight="false" outlineLevel="0" collapsed="false">
      <c r="A286" s="10" t="s">
        <v>1282</v>
      </c>
      <c r="B286" s="10" t="s">
        <v>44</v>
      </c>
      <c r="C286" s="10" t="s">
        <v>45</v>
      </c>
      <c r="D286" s="10"/>
      <c r="E286" s="10"/>
      <c r="F286" s="10" t="s">
        <v>44</v>
      </c>
      <c r="G286" s="11" t="s">
        <v>1283</v>
      </c>
      <c r="H286" s="10" t="n">
        <v>2020</v>
      </c>
      <c r="I286" s="10" t="s">
        <v>1284</v>
      </c>
      <c r="J286" s="11" t="s">
        <v>1285</v>
      </c>
      <c r="K286" s="10" t="s">
        <v>49</v>
      </c>
      <c r="L286" s="10" t="s">
        <v>1286</v>
      </c>
    </row>
    <row r="287" customFormat="false" ht="23.85" hidden="false" customHeight="false" outlineLevel="0" collapsed="false">
      <c r="A287" s="10" t="s">
        <v>1287</v>
      </c>
      <c r="B287" s="10" t="s">
        <v>44</v>
      </c>
      <c r="C287" s="10" t="s">
        <v>45</v>
      </c>
      <c r="D287" s="10"/>
      <c r="E287" s="10"/>
      <c r="F287" s="10" t="s">
        <v>44</v>
      </c>
      <c r="G287" s="11" t="s">
        <v>1288</v>
      </c>
      <c r="H287" s="10" t="n">
        <v>2026</v>
      </c>
      <c r="I287" s="10" t="s">
        <v>1289</v>
      </c>
      <c r="J287" s="11" t="s">
        <v>1290</v>
      </c>
      <c r="K287" s="10" t="s">
        <v>49</v>
      </c>
      <c r="L287" s="10" t="s">
        <v>1291</v>
      </c>
    </row>
    <row r="288" customFormat="false" ht="23.85" hidden="false" customHeight="false" outlineLevel="0" collapsed="false">
      <c r="A288" s="10" t="s">
        <v>1292</v>
      </c>
      <c r="B288" s="10" t="s">
        <v>44</v>
      </c>
      <c r="C288" s="10" t="s">
        <v>45</v>
      </c>
      <c r="D288" s="10"/>
      <c r="E288" s="10"/>
      <c r="F288" s="10" t="s">
        <v>52</v>
      </c>
      <c r="G288" s="11" t="s">
        <v>1293</v>
      </c>
      <c r="H288" s="10" t="n">
        <v>2018</v>
      </c>
      <c r="I288" s="10" t="s">
        <v>1294</v>
      </c>
      <c r="J288" s="11" t="s">
        <v>1295</v>
      </c>
      <c r="K288" s="10" t="s">
        <v>49</v>
      </c>
      <c r="L288" s="10" t="s">
        <v>1296</v>
      </c>
    </row>
    <row r="289" customFormat="false" ht="23.85" hidden="false" customHeight="false" outlineLevel="0" collapsed="false">
      <c r="A289" s="10" t="s">
        <v>1297</v>
      </c>
      <c r="B289" s="10" t="s">
        <v>44</v>
      </c>
      <c r="C289" s="10" t="s">
        <v>45</v>
      </c>
      <c r="D289" s="10"/>
      <c r="E289" s="10"/>
      <c r="F289" s="10" t="s">
        <v>44</v>
      </c>
      <c r="G289" s="11" t="s">
        <v>1298</v>
      </c>
      <c r="H289" s="10" t="n">
        <v>2025</v>
      </c>
      <c r="I289" s="10" t="s">
        <v>1299</v>
      </c>
      <c r="J289" s="11" t="s">
        <v>1300</v>
      </c>
      <c r="K289" s="10" t="s">
        <v>49</v>
      </c>
      <c r="L289" s="10" t="s">
        <v>1301</v>
      </c>
    </row>
    <row r="290" customFormat="false" ht="35.05" hidden="false" customHeight="false" outlineLevel="0" collapsed="false">
      <c r="A290" s="10" t="s">
        <v>1302</v>
      </c>
      <c r="B290" s="10" t="s">
        <v>44</v>
      </c>
      <c r="C290" s="10" t="s">
        <v>45</v>
      </c>
      <c r="D290" s="10"/>
      <c r="E290" s="10"/>
      <c r="F290" s="10" t="s">
        <v>52</v>
      </c>
      <c r="G290" s="11" t="s">
        <v>1303</v>
      </c>
      <c r="H290" s="10" t="n">
        <v>2024</v>
      </c>
      <c r="I290" s="10" t="s">
        <v>675</v>
      </c>
      <c r="J290" s="11" t="s">
        <v>1304</v>
      </c>
      <c r="K290" s="10" t="s">
        <v>49</v>
      </c>
      <c r="L290" s="10" t="s">
        <v>1305</v>
      </c>
    </row>
    <row r="291" customFormat="false" ht="35.05" hidden="false" customHeight="false" outlineLevel="0" collapsed="false">
      <c r="A291" s="10" t="s">
        <v>1306</v>
      </c>
      <c r="B291" s="10" t="s">
        <v>44</v>
      </c>
      <c r="C291" s="10" t="s">
        <v>45</v>
      </c>
      <c r="D291" s="10"/>
      <c r="E291" s="10"/>
      <c r="F291" s="10" t="s">
        <v>52</v>
      </c>
      <c r="G291" s="11" t="s">
        <v>1307</v>
      </c>
      <c r="H291" s="10" t="n">
        <v>2022</v>
      </c>
      <c r="I291" s="10" t="s">
        <v>1308</v>
      </c>
      <c r="J291" s="11" t="s">
        <v>1309</v>
      </c>
      <c r="K291" s="10" t="s">
        <v>49</v>
      </c>
      <c r="L291" s="10" t="s">
        <v>1310</v>
      </c>
    </row>
    <row r="292" customFormat="false" ht="15" hidden="false" customHeight="false" outlineLevel="0" collapsed="false">
      <c r="A292" s="10" t="s">
        <v>1311</v>
      </c>
      <c r="B292" s="10" t="s">
        <v>44</v>
      </c>
      <c r="C292" s="10" t="s">
        <v>45</v>
      </c>
      <c r="D292" s="10"/>
      <c r="E292" s="10"/>
      <c r="F292" s="10" t="s">
        <v>44</v>
      </c>
      <c r="G292" s="11" t="s">
        <v>1312</v>
      </c>
      <c r="H292" s="10" t="n">
        <v>2024</v>
      </c>
      <c r="I292" s="10" t="s">
        <v>1313</v>
      </c>
      <c r="J292" s="11" t="s">
        <v>66</v>
      </c>
      <c r="K292" s="10" t="s">
        <v>49</v>
      </c>
      <c r="L292" s="10"/>
    </row>
    <row r="293" customFormat="false" ht="23.85" hidden="false" customHeight="false" outlineLevel="0" collapsed="false">
      <c r="A293" s="10" t="s">
        <v>1314</v>
      </c>
      <c r="B293" s="10" t="s">
        <v>44</v>
      </c>
      <c r="C293" s="10" t="s">
        <v>45</v>
      </c>
      <c r="D293" s="10"/>
      <c r="E293" s="10"/>
      <c r="F293" s="10" t="s">
        <v>170</v>
      </c>
      <c r="G293" s="11" t="s">
        <v>1315</v>
      </c>
      <c r="H293" s="10" t="n">
        <v>2023</v>
      </c>
      <c r="I293" s="10" t="s">
        <v>864</v>
      </c>
      <c r="J293" s="11" t="s">
        <v>197</v>
      </c>
      <c r="K293" s="10" t="s">
        <v>61</v>
      </c>
      <c r="L293" s="10"/>
    </row>
    <row r="294" customFormat="false" ht="23.85" hidden="false" customHeight="false" outlineLevel="0" collapsed="false">
      <c r="A294" s="10" t="s">
        <v>1316</v>
      </c>
      <c r="B294" s="10" t="s">
        <v>44</v>
      </c>
      <c r="C294" s="10" t="s">
        <v>45</v>
      </c>
      <c r="D294" s="10"/>
      <c r="E294" s="10"/>
      <c r="F294" s="10" t="s">
        <v>44</v>
      </c>
      <c r="G294" s="11" t="s">
        <v>1317</v>
      </c>
      <c r="H294" s="10" t="n">
        <v>2023</v>
      </c>
      <c r="I294" s="10" t="s">
        <v>1318</v>
      </c>
      <c r="J294" s="11" t="s">
        <v>482</v>
      </c>
      <c r="K294" s="10" t="s">
        <v>49</v>
      </c>
      <c r="L294" s="10" t="s">
        <v>1319</v>
      </c>
    </row>
    <row r="295" customFormat="false" ht="23.85" hidden="false" customHeight="false" outlineLevel="0" collapsed="false">
      <c r="A295" s="10" t="s">
        <v>1320</v>
      </c>
      <c r="B295" s="10" t="s">
        <v>44</v>
      </c>
      <c r="C295" s="10" t="s">
        <v>45</v>
      </c>
      <c r="D295" s="10"/>
      <c r="E295" s="10"/>
      <c r="F295" s="10" t="s">
        <v>44</v>
      </c>
      <c r="G295" s="11" t="s">
        <v>1321</v>
      </c>
      <c r="H295" s="10" t="n">
        <v>2023</v>
      </c>
      <c r="I295" s="10" t="s">
        <v>1322</v>
      </c>
      <c r="J295" s="11" t="s">
        <v>608</v>
      </c>
      <c r="K295" s="10" t="s">
        <v>49</v>
      </c>
      <c r="L295" s="10"/>
    </row>
    <row r="296" customFormat="false" ht="15" hidden="false" customHeight="false" outlineLevel="0" collapsed="false">
      <c r="A296" s="10" t="s">
        <v>1323</v>
      </c>
      <c r="B296" s="10" t="s">
        <v>44</v>
      </c>
      <c r="C296" s="10" t="s">
        <v>45</v>
      </c>
      <c r="D296" s="10"/>
      <c r="E296" s="10"/>
      <c r="F296" s="10" t="s">
        <v>44</v>
      </c>
      <c r="G296" s="11" t="s">
        <v>1324</v>
      </c>
      <c r="H296" s="10" t="n">
        <v>2019</v>
      </c>
      <c r="I296" s="10" t="s">
        <v>1325</v>
      </c>
      <c r="J296" s="11" t="s">
        <v>1326</v>
      </c>
      <c r="K296" s="10" t="s">
        <v>49</v>
      </c>
      <c r="L296" s="10" t="s">
        <v>1327</v>
      </c>
    </row>
    <row r="297" customFormat="false" ht="23.85" hidden="false" customHeight="false" outlineLevel="0" collapsed="false">
      <c r="A297" s="10" t="s">
        <v>1328</v>
      </c>
      <c r="B297" s="10" t="s">
        <v>44</v>
      </c>
      <c r="C297" s="10" t="s">
        <v>45</v>
      </c>
      <c r="D297" s="10"/>
      <c r="E297" s="10"/>
      <c r="F297" s="10" t="s">
        <v>52</v>
      </c>
      <c r="G297" s="11" t="s">
        <v>1329</v>
      </c>
      <c r="H297" s="10" t="n">
        <v>2025</v>
      </c>
      <c r="I297" s="10" t="s">
        <v>874</v>
      </c>
      <c r="J297" s="11" t="s">
        <v>311</v>
      </c>
      <c r="K297" s="10" t="s">
        <v>49</v>
      </c>
      <c r="L297" s="10" t="s">
        <v>1330</v>
      </c>
    </row>
    <row r="298" customFormat="false" ht="23.85" hidden="false" customHeight="false" outlineLevel="0" collapsed="false">
      <c r="A298" s="10" t="s">
        <v>1331</v>
      </c>
      <c r="B298" s="10" t="s">
        <v>44</v>
      </c>
      <c r="C298" s="10" t="s">
        <v>45</v>
      </c>
      <c r="D298" s="10"/>
      <c r="E298" s="10"/>
      <c r="F298" s="10" t="s">
        <v>52</v>
      </c>
      <c r="G298" s="11" t="s">
        <v>1332</v>
      </c>
      <c r="H298" s="10" t="n">
        <v>2023</v>
      </c>
      <c r="I298" s="10" t="s">
        <v>1333</v>
      </c>
      <c r="J298" s="11" t="s">
        <v>1334</v>
      </c>
      <c r="K298" s="10" t="s">
        <v>49</v>
      </c>
      <c r="L298" s="10" t="s">
        <v>1335</v>
      </c>
    </row>
    <row r="299" customFormat="false" ht="23.85" hidden="false" customHeight="false" outlineLevel="0" collapsed="false">
      <c r="A299" s="10" t="s">
        <v>1336</v>
      </c>
      <c r="B299" s="10" t="s">
        <v>44</v>
      </c>
      <c r="C299" s="10" t="s">
        <v>45</v>
      </c>
      <c r="D299" s="10"/>
      <c r="E299" s="10"/>
      <c r="F299" s="10" t="s">
        <v>44</v>
      </c>
      <c r="G299" s="11" t="s">
        <v>1337</v>
      </c>
      <c r="H299" s="10" t="n">
        <v>2025</v>
      </c>
      <c r="I299" s="10" t="s">
        <v>773</v>
      </c>
      <c r="J299" s="11" t="s">
        <v>70</v>
      </c>
      <c r="K299" s="10" t="s">
        <v>49</v>
      </c>
      <c r="L299" s="10"/>
    </row>
    <row r="300" customFormat="false" ht="23.85" hidden="false" customHeight="false" outlineLevel="0" collapsed="false">
      <c r="A300" s="10" t="s">
        <v>1338</v>
      </c>
      <c r="B300" s="10" t="s">
        <v>44</v>
      </c>
      <c r="C300" s="10" t="s">
        <v>45</v>
      </c>
      <c r="D300" s="10"/>
      <c r="E300" s="10"/>
      <c r="F300" s="10" t="s">
        <v>44</v>
      </c>
      <c r="G300" s="11" t="s">
        <v>1339</v>
      </c>
      <c r="H300" s="10" t="n">
        <v>2025</v>
      </c>
      <c r="I300" s="10" t="s">
        <v>1340</v>
      </c>
      <c r="J300" s="11" t="s">
        <v>70</v>
      </c>
      <c r="K300" s="10" t="s">
        <v>49</v>
      </c>
      <c r="L300" s="10"/>
    </row>
    <row r="301" customFormat="false" ht="15" hidden="false" customHeight="false" outlineLevel="0" collapsed="false">
      <c r="A301" s="10" t="s">
        <v>1341</v>
      </c>
      <c r="B301" s="10" t="s">
        <v>44</v>
      </c>
      <c r="C301" s="10" t="s">
        <v>45</v>
      </c>
      <c r="D301" s="10"/>
      <c r="E301" s="10"/>
      <c r="F301" s="10" t="s">
        <v>44</v>
      </c>
      <c r="G301" s="11" t="s">
        <v>1342</v>
      </c>
      <c r="H301" s="10" t="n">
        <v>2019</v>
      </c>
      <c r="I301" s="10" t="s">
        <v>108</v>
      </c>
      <c r="J301" s="11" t="s">
        <v>1343</v>
      </c>
      <c r="K301" s="10" t="s">
        <v>49</v>
      </c>
      <c r="L301" s="10" t="s">
        <v>1344</v>
      </c>
    </row>
    <row r="302" customFormat="false" ht="23.85" hidden="false" customHeight="false" outlineLevel="0" collapsed="false">
      <c r="A302" s="10" t="s">
        <v>1345</v>
      </c>
      <c r="B302" s="10" t="s">
        <v>44</v>
      </c>
      <c r="C302" s="10" t="s">
        <v>45</v>
      </c>
      <c r="D302" s="10"/>
      <c r="E302" s="10"/>
      <c r="F302" s="10" t="s">
        <v>44</v>
      </c>
      <c r="G302" s="11" t="s">
        <v>1346</v>
      </c>
      <c r="H302" s="10" t="n">
        <v>2025</v>
      </c>
      <c r="I302" s="10" t="s">
        <v>1347</v>
      </c>
      <c r="J302" s="11" t="s">
        <v>1348</v>
      </c>
      <c r="K302" s="10" t="s">
        <v>49</v>
      </c>
      <c r="L302" s="10"/>
    </row>
    <row r="303" customFormat="false" ht="23.85" hidden="false" customHeight="false" outlineLevel="0" collapsed="false">
      <c r="A303" s="10" t="s">
        <v>1349</v>
      </c>
      <c r="B303" s="10" t="s">
        <v>44</v>
      </c>
      <c r="C303" s="10" t="s">
        <v>45</v>
      </c>
      <c r="D303" s="10"/>
      <c r="E303" s="10"/>
      <c r="F303" s="10" t="s">
        <v>44</v>
      </c>
      <c r="G303" s="11" t="s">
        <v>1350</v>
      </c>
      <c r="H303" s="10" t="n">
        <v>2024</v>
      </c>
      <c r="I303" s="10" t="s">
        <v>1351</v>
      </c>
      <c r="J303" s="11" t="s">
        <v>389</v>
      </c>
      <c r="K303" s="10" t="s">
        <v>49</v>
      </c>
      <c r="L303" s="10"/>
    </row>
    <row r="304" customFormat="false" ht="23.85" hidden="false" customHeight="false" outlineLevel="0" collapsed="false">
      <c r="A304" s="10" t="s">
        <v>1352</v>
      </c>
      <c r="B304" s="10" t="s">
        <v>44</v>
      </c>
      <c r="C304" s="10" t="s">
        <v>45</v>
      </c>
      <c r="D304" s="10"/>
      <c r="E304" s="10"/>
      <c r="F304" s="10" t="s">
        <v>52</v>
      </c>
      <c r="G304" s="11" t="s">
        <v>1353</v>
      </c>
      <c r="H304" s="10" t="n">
        <v>2019</v>
      </c>
      <c r="I304" s="10" t="s">
        <v>1354</v>
      </c>
      <c r="J304" s="11" t="s">
        <v>1355</v>
      </c>
      <c r="K304" s="10" t="s">
        <v>49</v>
      </c>
      <c r="L304" s="10" t="s">
        <v>1356</v>
      </c>
    </row>
    <row r="305" customFormat="false" ht="23.85" hidden="false" customHeight="false" outlineLevel="0" collapsed="false">
      <c r="A305" s="10" t="s">
        <v>1357</v>
      </c>
      <c r="B305" s="10" t="s">
        <v>44</v>
      </c>
      <c r="C305" s="10" t="s">
        <v>45</v>
      </c>
      <c r="D305" s="10"/>
      <c r="E305" s="10"/>
      <c r="F305" s="10" t="s">
        <v>170</v>
      </c>
      <c r="G305" s="11" t="s">
        <v>1358</v>
      </c>
      <c r="H305" s="10" t="n">
        <v>2018</v>
      </c>
      <c r="I305" s="10" t="s">
        <v>1359</v>
      </c>
      <c r="J305" s="11" t="s">
        <v>1360</v>
      </c>
      <c r="K305" s="10" t="s">
        <v>49</v>
      </c>
      <c r="L305" s="10" t="s">
        <v>1361</v>
      </c>
    </row>
    <row r="306" customFormat="false" ht="35.05" hidden="false" customHeight="false" outlineLevel="0" collapsed="false">
      <c r="A306" s="10" t="s">
        <v>1362</v>
      </c>
      <c r="B306" s="10" t="s">
        <v>44</v>
      </c>
      <c r="C306" s="10" t="s">
        <v>45</v>
      </c>
      <c r="D306" s="10"/>
      <c r="E306" s="10"/>
      <c r="F306" s="10" t="s">
        <v>52</v>
      </c>
      <c r="G306" s="11" t="s">
        <v>1363</v>
      </c>
      <c r="H306" s="10" t="n">
        <v>2024</v>
      </c>
      <c r="I306" s="10" t="s">
        <v>1364</v>
      </c>
      <c r="J306" s="11" t="s">
        <v>1365</v>
      </c>
      <c r="K306" s="10" t="s">
        <v>49</v>
      </c>
      <c r="L306" s="10" t="s">
        <v>1366</v>
      </c>
    </row>
    <row r="307" customFormat="false" ht="23.85" hidden="false" customHeight="false" outlineLevel="0" collapsed="false">
      <c r="A307" s="10" t="s">
        <v>1367</v>
      </c>
      <c r="B307" s="10" t="s">
        <v>44</v>
      </c>
      <c r="C307" s="10" t="s">
        <v>45</v>
      </c>
      <c r="D307" s="10"/>
      <c r="E307" s="10"/>
      <c r="F307" s="10" t="s">
        <v>44</v>
      </c>
      <c r="G307" s="11" t="s">
        <v>1368</v>
      </c>
      <c r="H307" s="10" t="n">
        <v>2020</v>
      </c>
      <c r="I307" s="10" t="s">
        <v>1369</v>
      </c>
      <c r="J307" s="11" t="s">
        <v>1260</v>
      </c>
      <c r="K307" s="10" t="s">
        <v>61</v>
      </c>
      <c r="L307" s="10" t="s">
        <v>1370</v>
      </c>
    </row>
    <row r="308" customFormat="false" ht="23.85" hidden="false" customHeight="false" outlineLevel="0" collapsed="false">
      <c r="A308" s="10" t="s">
        <v>1371</v>
      </c>
      <c r="B308" s="10" t="s">
        <v>44</v>
      </c>
      <c r="C308" s="10" t="s">
        <v>45</v>
      </c>
      <c r="D308" s="10"/>
      <c r="E308" s="10"/>
      <c r="F308" s="10" t="s">
        <v>44</v>
      </c>
      <c r="G308" s="11" t="s">
        <v>1372</v>
      </c>
      <c r="H308" s="10" t="n">
        <v>2024</v>
      </c>
      <c r="I308" s="10" t="s">
        <v>1373</v>
      </c>
      <c r="J308" s="11" t="s">
        <v>478</v>
      </c>
      <c r="K308" s="10" t="s">
        <v>61</v>
      </c>
      <c r="L308" s="10"/>
    </row>
    <row r="309" customFormat="false" ht="15" hidden="false" customHeight="false" outlineLevel="0" collapsed="false">
      <c r="A309" s="10" t="s">
        <v>1374</v>
      </c>
      <c r="B309" s="10" t="s">
        <v>44</v>
      </c>
      <c r="C309" s="10" t="s">
        <v>45</v>
      </c>
      <c r="D309" s="10"/>
      <c r="E309" s="10"/>
      <c r="F309" s="10" t="s">
        <v>44</v>
      </c>
      <c r="G309" s="11" t="s">
        <v>1375</v>
      </c>
      <c r="H309" s="10" t="n">
        <v>2025</v>
      </c>
      <c r="I309" s="10" t="s">
        <v>1376</v>
      </c>
      <c r="J309" s="11" t="s">
        <v>66</v>
      </c>
      <c r="K309" s="10" t="s">
        <v>49</v>
      </c>
      <c r="L309" s="10"/>
    </row>
    <row r="310" customFormat="false" ht="23.85" hidden="false" customHeight="false" outlineLevel="0" collapsed="false">
      <c r="A310" s="10" t="s">
        <v>1377</v>
      </c>
      <c r="B310" s="10" t="s">
        <v>44</v>
      </c>
      <c r="C310" s="10" t="s">
        <v>45</v>
      </c>
      <c r="D310" s="10"/>
      <c r="E310" s="10"/>
      <c r="F310" s="10" t="s">
        <v>44</v>
      </c>
      <c r="G310" s="11" t="s">
        <v>1378</v>
      </c>
      <c r="H310" s="10" t="n">
        <v>2024</v>
      </c>
      <c r="I310" s="10" t="s">
        <v>859</v>
      </c>
      <c r="J310" s="11" t="s">
        <v>917</v>
      </c>
      <c r="K310" s="10" t="s">
        <v>61</v>
      </c>
      <c r="L310" s="10" t="s">
        <v>1379</v>
      </c>
    </row>
    <row r="311" customFormat="false" ht="23.85" hidden="false" customHeight="false" outlineLevel="0" collapsed="false">
      <c r="A311" s="10" t="s">
        <v>1380</v>
      </c>
      <c r="B311" s="10" t="s">
        <v>44</v>
      </c>
      <c r="C311" s="10" t="s">
        <v>45</v>
      </c>
      <c r="D311" s="10"/>
      <c r="E311" s="10"/>
      <c r="F311" s="10" t="s">
        <v>52</v>
      </c>
      <c r="G311" s="11" t="s">
        <v>1381</v>
      </c>
      <c r="H311" s="10" t="n">
        <v>2024</v>
      </c>
      <c r="I311" s="10" t="s">
        <v>1382</v>
      </c>
      <c r="J311" s="11" t="s">
        <v>1383</v>
      </c>
      <c r="K311" s="10" t="s">
        <v>49</v>
      </c>
      <c r="L311" s="10" t="s">
        <v>1384</v>
      </c>
    </row>
    <row r="312" customFormat="false" ht="23.85" hidden="false" customHeight="false" outlineLevel="0" collapsed="false">
      <c r="A312" s="10" t="s">
        <v>1385</v>
      </c>
      <c r="B312" s="10" t="s">
        <v>44</v>
      </c>
      <c r="C312" s="10" t="s">
        <v>45</v>
      </c>
      <c r="D312" s="10"/>
      <c r="E312" s="10"/>
      <c r="F312" s="10" t="s">
        <v>44</v>
      </c>
      <c r="G312" s="11" t="s">
        <v>1386</v>
      </c>
      <c r="H312" s="10" t="n">
        <v>2025</v>
      </c>
      <c r="I312" s="10" t="s">
        <v>1387</v>
      </c>
      <c r="J312" s="11" t="s">
        <v>70</v>
      </c>
      <c r="K312" s="10" t="s">
        <v>49</v>
      </c>
      <c r="L312" s="10"/>
    </row>
    <row r="313" customFormat="false" ht="23.85" hidden="false" customHeight="false" outlineLevel="0" collapsed="false">
      <c r="A313" s="10" t="s">
        <v>1388</v>
      </c>
      <c r="B313" s="10" t="s">
        <v>44</v>
      </c>
      <c r="C313" s="10" t="s">
        <v>45</v>
      </c>
      <c r="D313" s="10"/>
      <c r="E313" s="10"/>
      <c r="F313" s="10" t="s">
        <v>44</v>
      </c>
      <c r="G313" s="11" t="s">
        <v>1389</v>
      </c>
      <c r="H313" s="10" t="n">
        <v>2026</v>
      </c>
      <c r="I313" s="10" t="s">
        <v>1390</v>
      </c>
      <c r="J313" s="11" t="s">
        <v>321</v>
      </c>
      <c r="K313" s="10" t="s">
        <v>49</v>
      </c>
      <c r="L313" s="10" t="s">
        <v>1391</v>
      </c>
    </row>
    <row r="314" customFormat="false" ht="15" hidden="false" customHeight="false" outlineLevel="0" collapsed="false">
      <c r="A314" s="10" t="s">
        <v>1392</v>
      </c>
      <c r="B314" s="10" t="s">
        <v>44</v>
      </c>
      <c r="C314" s="10" t="s">
        <v>45</v>
      </c>
      <c r="D314" s="10"/>
      <c r="E314" s="10"/>
      <c r="F314" s="10" t="s">
        <v>44</v>
      </c>
      <c r="G314" s="11" t="s">
        <v>1393</v>
      </c>
      <c r="H314" s="10" t="n">
        <v>2024</v>
      </c>
      <c r="I314" s="10" t="s">
        <v>1394</v>
      </c>
      <c r="J314" s="11" t="s">
        <v>1395</v>
      </c>
      <c r="K314" s="10" t="s">
        <v>61</v>
      </c>
      <c r="L314" s="10" t="s">
        <v>1396</v>
      </c>
    </row>
    <row r="315" customFormat="false" ht="35.05" hidden="false" customHeight="false" outlineLevel="0" collapsed="false">
      <c r="A315" s="10" t="s">
        <v>1397</v>
      </c>
      <c r="B315" s="10" t="s">
        <v>44</v>
      </c>
      <c r="C315" s="10" t="s">
        <v>45</v>
      </c>
      <c r="D315" s="10"/>
      <c r="E315" s="10"/>
      <c r="F315" s="10" t="s">
        <v>44</v>
      </c>
      <c r="G315" s="11" t="s">
        <v>1398</v>
      </c>
      <c r="H315" s="10" t="n">
        <v>2021</v>
      </c>
      <c r="I315" s="10" t="s">
        <v>1399</v>
      </c>
      <c r="J315" s="11" t="s">
        <v>1400</v>
      </c>
      <c r="K315" s="10" t="s">
        <v>49</v>
      </c>
      <c r="L315" s="10" t="s">
        <v>1401</v>
      </c>
    </row>
    <row r="316" customFormat="false" ht="23.85" hidden="false" customHeight="false" outlineLevel="0" collapsed="false">
      <c r="A316" s="10" t="s">
        <v>1402</v>
      </c>
      <c r="B316" s="10" t="s">
        <v>44</v>
      </c>
      <c r="C316" s="10" t="s">
        <v>45</v>
      </c>
      <c r="D316" s="10"/>
      <c r="E316" s="10"/>
      <c r="F316" s="10" t="s">
        <v>44</v>
      </c>
      <c r="G316" s="11" t="s">
        <v>1403</v>
      </c>
      <c r="H316" s="10" t="n">
        <v>2026</v>
      </c>
      <c r="I316" s="10" t="s">
        <v>1404</v>
      </c>
      <c r="J316" s="11" t="s">
        <v>1405</v>
      </c>
      <c r="K316" s="10" t="s">
        <v>61</v>
      </c>
      <c r="L316" s="10" t="s">
        <v>1406</v>
      </c>
    </row>
    <row r="317" customFormat="false" ht="35.05" hidden="false" customHeight="false" outlineLevel="0" collapsed="false">
      <c r="A317" s="10" t="s">
        <v>1407</v>
      </c>
      <c r="B317" s="10" t="s">
        <v>44</v>
      </c>
      <c r="C317" s="10" t="s">
        <v>45</v>
      </c>
      <c r="D317" s="10"/>
      <c r="E317" s="10"/>
      <c r="F317" s="10" t="s">
        <v>44</v>
      </c>
      <c r="G317" s="11" t="s">
        <v>1408</v>
      </c>
      <c r="H317" s="10" t="n">
        <v>2024</v>
      </c>
      <c r="I317" s="10" t="s">
        <v>1409</v>
      </c>
      <c r="J317" s="11" t="s">
        <v>1410</v>
      </c>
      <c r="K317" s="10" t="s">
        <v>49</v>
      </c>
      <c r="L317" s="10" t="s">
        <v>1411</v>
      </c>
    </row>
    <row r="318" customFormat="false" ht="35.05" hidden="false" customHeight="false" outlineLevel="0" collapsed="false">
      <c r="A318" s="10" t="s">
        <v>1412</v>
      </c>
      <c r="B318" s="10" t="s">
        <v>44</v>
      </c>
      <c r="C318" s="10" t="s">
        <v>45</v>
      </c>
      <c r="D318" s="10"/>
      <c r="E318" s="10"/>
      <c r="F318" s="10" t="s">
        <v>170</v>
      </c>
      <c r="G318" s="11" t="s">
        <v>1413</v>
      </c>
      <c r="H318" s="10" t="n">
        <v>2025</v>
      </c>
      <c r="I318" s="10" t="s">
        <v>1414</v>
      </c>
      <c r="J318" s="11" t="s">
        <v>1415</v>
      </c>
      <c r="K318" s="10" t="s">
        <v>49</v>
      </c>
      <c r="L318" s="10" t="s">
        <v>1416</v>
      </c>
    </row>
    <row r="319" customFormat="false" ht="23.85" hidden="false" customHeight="false" outlineLevel="0" collapsed="false">
      <c r="A319" s="10" t="s">
        <v>1417</v>
      </c>
      <c r="B319" s="10" t="s">
        <v>44</v>
      </c>
      <c r="C319" s="10" t="s">
        <v>45</v>
      </c>
      <c r="D319" s="10"/>
      <c r="E319" s="10"/>
      <c r="F319" s="10" t="s">
        <v>52</v>
      </c>
      <c r="G319" s="11" t="s">
        <v>1418</v>
      </c>
      <c r="H319" s="10" t="n">
        <v>2024</v>
      </c>
      <c r="I319" s="10" t="s">
        <v>1419</v>
      </c>
      <c r="J319" s="11" t="s">
        <v>1420</v>
      </c>
      <c r="K319" s="10" t="s">
        <v>49</v>
      </c>
      <c r="L319" s="10" t="s">
        <v>1421</v>
      </c>
    </row>
    <row r="320" customFormat="false" ht="15" hidden="false" customHeight="false" outlineLevel="0" collapsed="false">
      <c r="A320" s="10" t="s">
        <v>1422</v>
      </c>
      <c r="B320" s="10" t="s">
        <v>44</v>
      </c>
      <c r="C320" s="10" t="s">
        <v>45</v>
      </c>
      <c r="D320" s="10"/>
      <c r="E320" s="10"/>
      <c r="F320" s="10" t="s">
        <v>44</v>
      </c>
      <c r="G320" s="11" t="s">
        <v>1423</v>
      </c>
      <c r="H320" s="10" t="n">
        <v>2026</v>
      </c>
      <c r="I320" s="10" t="s">
        <v>1424</v>
      </c>
      <c r="J320" s="11" t="s">
        <v>321</v>
      </c>
      <c r="K320" s="10" t="s">
        <v>49</v>
      </c>
      <c r="L320" s="10" t="s">
        <v>1425</v>
      </c>
    </row>
    <row r="321" customFormat="false" ht="15" hidden="false" customHeight="false" outlineLevel="0" collapsed="false">
      <c r="A321" s="10" t="s">
        <v>1426</v>
      </c>
      <c r="B321" s="10" t="s">
        <v>44</v>
      </c>
      <c r="C321" s="10" t="s">
        <v>45</v>
      </c>
      <c r="D321" s="10"/>
      <c r="E321" s="10"/>
      <c r="F321" s="10" t="s">
        <v>44</v>
      </c>
      <c r="G321" s="11" t="s">
        <v>1427</v>
      </c>
      <c r="H321" s="10" t="n">
        <v>2022</v>
      </c>
      <c r="I321" s="10" t="s">
        <v>1428</v>
      </c>
      <c r="J321" s="11" t="s">
        <v>66</v>
      </c>
      <c r="K321" s="10" t="s">
        <v>49</v>
      </c>
      <c r="L321" s="10"/>
    </row>
    <row r="322" customFormat="false" ht="35.05" hidden="false" customHeight="false" outlineLevel="0" collapsed="false">
      <c r="A322" s="10" t="s">
        <v>1429</v>
      </c>
      <c r="B322" s="10" t="s">
        <v>44</v>
      </c>
      <c r="C322" s="10" t="s">
        <v>45</v>
      </c>
      <c r="D322" s="10"/>
      <c r="E322" s="10"/>
      <c r="F322" s="10" t="s">
        <v>44</v>
      </c>
      <c r="G322" s="11" t="s">
        <v>1430</v>
      </c>
      <c r="H322" s="10" t="n">
        <v>2024</v>
      </c>
      <c r="I322" s="10" t="s">
        <v>1431</v>
      </c>
      <c r="J322" s="11" t="s">
        <v>48</v>
      </c>
      <c r="K322" s="10" t="s">
        <v>49</v>
      </c>
      <c r="L322" s="10" t="s">
        <v>1432</v>
      </c>
    </row>
    <row r="323" customFormat="false" ht="23.85" hidden="false" customHeight="false" outlineLevel="0" collapsed="false">
      <c r="A323" s="10" t="s">
        <v>1433</v>
      </c>
      <c r="B323" s="10" t="s">
        <v>44</v>
      </c>
      <c r="C323" s="10" t="s">
        <v>45</v>
      </c>
      <c r="D323" s="10"/>
      <c r="E323" s="10"/>
      <c r="F323" s="10" t="s">
        <v>52</v>
      </c>
      <c r="G323" s="11" t="s">
        <v>1434</v>
      </c>
      <c r="H323" s="10" t="n">
        <v>2018</v>
      </c>
      <c r="I323" s="10" t="s">
        <v>1435</v>
      </c>
      <c r="J323" s="11" t="s">
        <v>1436</v>
      </c>
      <c r="K323" s="10" t="s">
        <v>49</v>
      </c>
      <c r="L323" s="10" t="s">
        <v>1437</v>
      </c>
    </row>
    <row r="324" customFormat="false" ht="35.05" hidden="false" customHeight="false" outlineLevel="0" collapsed="false">
      <c r="A324" s="10" t="s">
        <v>1438</v>
      </c>
      <c r="B324" s="10" t="s">
        <v>44</v>
      </c>
      <c r="C324" s="10" t="s">
        <v>45</v>
      </c>
      <c r="D324" s="10"/>
      <c r="E324" s="10"/>
      <c r="F324" s="10" t="s">
        <v>52</v>
      </c>
      <c r="G324" s="11" t="s">
        <v>1439</v>
      </c>
      <c r="H324" s="10" t="n">
        <v>2024</v>
      </c>
      <c r="I324" s="10" t="s">
        <v>1440</v>
      </c>
      <c r="J324" s="11" t="s">
        <v>1441</v>
      </c>
      <c r="K324" s="10" t="s">
        <v>49</v>
      </c>
      <c r="L324" s="10" t="s">
        <v>1442</v>
      </c>
    </row>
    <row r="325" customFormat="false" ht="23.85" hidden="false" customHeight="false" outlineLevel="0" collapsed="false">
      <c r="A325" s="10" t="s">
        <v>1443</v>
      </c>
      <c r="B325" s="10" t="s">
        <v>44</v>
      </c>
      <c r="C325" s="10" t="s">
        <v>45</v>
      </c>
      <c r="D325" s="10"/>
      <c r="E325" s="10"/>
      <c r="F325" s="10" t="s">
        <v>44</v>
      </c>
      <c r="G325" s="11" t="s">
        <v>1444</v>
      </c>
      <c r="H325" s="10" t="n">
        <v>2026</v>
      </c>
      <c r="I325" s="10" t="s">
        <v>1445</v>
      </c>
      <c r="J325" s="11" t="s">
        <v>460</v>
      </c>
      <c r="K325" s="10" t="s">
        <v>49</v>
      </c>
      <c r="L325" s="10" t="s">
        <v>1446</v>
      </c>
    </row>
    <row r="326" customFormat="false" ht="23.85" hidden="false" customHeight="false" outlineLevel="0" collapsed="false">
      <c r="A326" s="10" t="s">
        <v>1447</v>
      </c>
      <c r="B326" s="10" t="s">
        <v>44</v>
      </c>
      <c r="C326" s="10" t="s">
        <v>45</v>
      </c>
      <c r="D326" s="10"/>
      <c r="E326" s="10"/>
      <c r="F326" s="10" t="s">
        <v>44</v>
      </c>
      <c r="G326" s="11" t="s">
        <v>1448</v>
      </c>
      <c r="H326" s="10" t="n">
        <v>2026</v>
      </c>
      <c r="I326" s="10" t="s">
        <v>1449</v>
      </c>
      <c r="J326" s="11" t="s">
        <v>1450</v>
      </c>
      <c r="K326" s="10" t="s">
        <v>61</v>
      </c>
      <c r="L326" s="10" t="s">
        <v>1451</v>
      </c>
    </row>
    <row r="327" customFormat="false" ht="23.85" hidden="false" customHeight="false" outlineLevel="0" collapsed="false">
      <c r="A327" s="10" t="s">
        <v>1452</v>
      </c>
      <c r="B327" s="10" t="s">
        <v>44</v>
      </c>
      <c r="C327" s="10" t="s">
        <v>45</v>
      </c>
      <c r="D327" s="10"/>
      <c r="E327" s="10"/>
      <c r="F327" s="10" t="s">
        <v>52</v>
      </c>
      <c r="G327" s="11" t="s">
        <v>1453</v>
      </c>
      <c r="H327" s="10" t="n">
        <v>2024</v>
      </c>
      <c r="I327" s="10" t="s">
        <v>1454</v>
      </c>
      <c r="J327" s="11" t="s">
        <v>1455</v>
      </c>
      <c r="K327" s="10" t="s">
        <v>49</v>
      </c>
      <c r="L327" s="10" t="s">
        <v>1456</v>
      </c>
    </row>
    <row r="328" customFormat="false" ht="23.85" hidden="false" customHeight="false" outlineLevel="0" collapsed="false">
      <c r="A328" s="10" t="s">
        <v>1457</v>
      </c>
      <c r="B328" s="10" t="s">
        <v>44</v>
      </c>
      <c r="C328" s="10" t="s">
        <v>45</v>
      </c>
      <c r="D328" s="10"/>
      <c r="E328" s="10"/>
      <c r="F328" s="10" t="s">
        <v>44</v>
      </c>
      <c r="G328" s="11" t="s">
        <v>1458</v>
      </c>
      <c r="H328" s="10" t="n">
        <v>2018</v>
      </c>
      <c r="I328" s="10" t="s">
        <v>491</v>
      </c>
      <c r="J328" s="11" t="s">
        <v>70</v>
      </c>
      <c r="K328" s="10" t="s">
        <v>49</v>
      </c>
      <c r="L328" s="10"/>
    </row>
    <row r="329" customFormat="false" ht="23.85" hidden="false" customHeight="false" outlineLevel="0" collapsed="false">
      <c r="A329" s="10" t="s">
        <v>1459</v>
      </c>
      <c r="B329" s="10" t="s">
        <v>44</v>
      </c>
      <c r="C329" s="10" t="s">
        <v>45</v>
      </c>
      <c r="D329" s="10"/>
      <c r="E329" s="10"/>
      <c r="F329" s="10" t="s">
        <v>44</v>
      </c>
      <c r="G329" s="11" t="s">
        <v>1460</v>
      </c>
      <c r="H329" s="10" t="n">
        <v>2025</v>
      </c>
      <c r="I329" s="10" t="s">
        <v>1461</v>
      </c>
      <c r="J329" s="11" t="s">
        <v>70</v>
      </c>
      <c r="K329" s="10" t="s">
        <v>49</v>
      </c>
      <c r="L329" s="10"/>
    </row>
    <row r="330" customFormat="false" ht="23.85" hidden="false" customHeight="false" outlineLevel="0" collapsed="false">
      <c r="A330" s="10" t="s">
        <v>1462</v>
      </c>
      <c r="B330" s="10" t="s">
        <v>44</v>
      </c>
      <c r="C330" s="10" t="s">
        <v>45</v>
      </c>
      <c r="D330" s="10"/>
      <c r="E330" s="10"/>
      <c r="F330" s="10" t="s">
        <v>44</v>
      </c>
      <c r="G330" s="11" t="s">
        <v>1463</v>
      </c>
      <c r="H330" s="10" t="n">
        <v>2025</v>
      </c>
      <c r="I330" s="10" t="s">
        <v>65</v>
      </c>
      <c r="J330" s="11" t="s">
        <v>273</v>
      </c>
      <c r="K330" s="10" t="s">
        <v>49</v>
      </c>
      <c r="L330" s="10"/>
    </row>
    <row r="331" customFormat="false" ht="35.05" hidden="false" customHeight="false" outlineLevel="0" collapsed="false">
      <c r="A331" s="10" t="s">
        <v>1464</v>
      </c>
      <c r="B331" s="10" t="s">
        <v>44</v>
      </c>
      <c r="C331" s="10" t="s">
        <v>45</v>
      </c>
      <c r="D331" s="10"/>
      <c r="E331" s="10"/>
      <c r="F331" s="10" t="s">
        <v>52</v>
      </c>
      <c r="G331" s="11" t="s">
        <v>1465</v>
      </c>
      <c r="H331" s="10" t="n">
        <v>2023</v>
      </c>
      <c r="I331" s="10" t="s">
        <v>1466</v>
      </c>
      <c r="J331" s="11" t="s">
        <v>1467</v>
      </c>
      <c r="K331" s="10" t="s">
        <v>61</v>
      </c>
      <c r="L331" s="10" t="s">
        <v>1468</v>
      </c>
    </row>
    <row r="332" customFormat="false" ht="35.05" hidden="false" customHeight="false" outlineLevel="0" collapsed="false">
      <c r="A332" s="10" t="s">
        <v>1469</v>
      </c>
      <c r="B332" s="10" t="s">
        <v>44</v>
      </c>
      <c r="C332" s="10" t="s">
        <v>45</v>
      </c>
      <c r="D332" s="10"/>
      <c r="E332" s="10"/>
      <c r="F332" s="10" t="s">
        <v>44</v>
      </c>
      <c r="G332" s="11" t="s">
        <v>1470</v>
      </c>
      <c r="H332" s="10" t="n">
        <v>2020</v>
      </c>
      <c r="I332" s="10" t="s">
        <v>1471</v>
      </c>
      <c r="J332" s="11" t="s">
        <v>1472</v>
      </c>
      <c r="K332" s="10" t="s">
        <v>49</v>
      </c>
      <c r="L332" s="10" t="s">
        <v>1473</v>
      </c>
    </row>
    <row r="333" customFormat="false" ht="35.05" hidden="false" customHeight="false" outlineLevel="0" collapsed="false">
      <c r="A333" s="10" t="s">
        <v>1474</v>
      </c>
      <c r="B333" s="10" t="s">
        <v>44</v>
      </c>
      <c r="C333" s="10" t="s">
        <v>45</v>
      </c>
      <c r="D333" s="10"/>
      <c r="E333" s="10"/>
      <c r="F333" s="10" t="s">
        <v>44</v>
      </c>
      <c r="G333" s="11" t="s">
        <v>1475</v>
      </c>
      <c r="H333" s="10" t="n">
        <v>2022</v>
      </c>
      <c r="I333" s="10" t="s">
        <v>1476</v>
      </c>
      <c r="J333" s="11" t="s">
        <v>1477</v>
      </c>
      <c r="K333" s="10" t="s">
        <v>49</v>
      </c>
      <c r="L333" s="10"/>
    </row>
    <row r="334" customFormat="false" ht="15" hidden="false" customHeight="false" outlineLevel="0" collapsed="false">
      <c r="A334" s="10" t="s">
        <v>1478</v>
      </c>
      <c r="B334" s="10" t="s">
        <v>44</v>
      </c>
      <c r="C334" s="10" t="s">
        <v>45</v>
      </c>
      <c r="D334" s="10"/>
      <c r="E334" s="10"/>
      <c r="F334" s="10" t="s">
        <v>44</v>
      </c>
      <c r="G334" s="11" t="s">
        <v>1479</v>
      </c>
      <c r="H334" s="10" t="n">
        <v>2023</v>
      </c>
      <c r="I334" s="10" t="s">
        <v>1480</v>
      </c>
      <c r="J334" s="11" t="s">
        <v>1481</v>
      </c>
      <c r="K334" s="10" t="s">
        <v>61</v>
      </c>
      <c r="L334" s="10" t="s">
        <v>1482</v>
      </c>
    </row>
    <row r="335" customFormat="false" ht="35.05" hidden="false" customHeight="false" outlineLevel="0" collapsed="false">
      <c r="A335" s="10" t="s">
        <v>1483</v>
      </c>
      <c r="B335" s="10" t="s">
        <v>44</v>
      </c>
      <c r="C335" s="10" t="s">
        <v>45</v>
      </c>
      <c r="D335" s="10"/>
      <c r="E335" s="10"/>
      <c r="F335" s="10" t="s">
        <v>52</v>
      </c>
      <c r="G335" s="11" t="s">
        <v>1484</v>
      </c>
      <c r="H335" s="10" t="n">
        <v>2024</v>
      </c>
      <c r="I335" s="10" t="s">
        <v>1485</v>
      </c>
      <c r="J335" s="11" t="s">
        <v>1486</v>
      </c>
      <c r="K335" s="10" t="s">
        <v>49</v>
      </c>
      <c r="L335" s="10" t="s">
        <v>1487</v>
      </c>
    </row>
    <row r="336" customFormat="false" ht="23.85" hidden="false" customHeight="false" outlineLevel="0" collapsed="false">
      <c r="A336" s="10" t="s">
        <v>1488</v>
      </c>
      <c r="B336" s="10" t="s">
        <v>44</v>
      </c>
      <c r="C336" s="10" t="s">
        <v>45</v>
      </c>
      <c r="D336" s="10"/>
      <c r="E336" s="10"/>
      <c r="F336" s="10" t="s">
        <v>52</v>
      </c>
      <c r="G336" s="11" t="s">
        <v>1489</v>
      </c>
      <c r="H336" s="10" t="n">
        <v>2020</v>
      </c>
      <c r="I336" s="10" t="s">
        <v>1490</v>
      </c>
      <c r="J336" s="11" t="s">
        <v>1491</v>
      </c>
      <c r="K336" s="10" t="s">
        <v>61</v>
      </c>
      <c r="L336" s="10" t="s">
        <v>1492</v>
      </c>
    </row>
    <row r="337" customFormat="false" ht="35.05" hidden="false" customHeight="false" outlineLevel="0" collapsed="false">
      <c r="A337" s="10" t="s">
        <v>1493</v>
      </c>
      <c r="B337" s="10" t="s">
        <v>44</v>
      </c>
      <c r="C337" s="10" t="s">
        <v>45</v>
      </c>
      <c r="D337" s="10"/>
      <c r="E337" s="10"/>
      <c r="F337" s="10" t="s">
        <v>52</v>
      </c>
      <c r="G337" s="11" t="s">
        <v>1494</v>
      </c>
      <c r="H337" s="10" t="n">
        <v>2021</v>
      </c>
      <c r="I337" s="10" t="s">
        <v>1495</v>
      </c>
      <c r="J337" s="11" t="s">
        <v>1496</v>
      </c>
      <c r="K337" s="10" t="s">
        <v>49</v>
      </c>
      <c r="L337" s="10" t="s">
        <v>1497</v>
      </c>
    </row>
    <row r="338" customFormat="false" ht="15" hidden="false" customHeight="false" outlineLevel="0" collapsed="false">
      <c r="A338" s="10" t="s">
        <v>1498</v>
      </c>
      <c r="B338" s="10" t="s">
        <v>44</v>
      </c>
      <c r="C338" s="10" t="s">
        <v>45</v>
      </c>
      <c r="D338" s="10"/>
      <c r="E338" s="10"/>
      <c r="F338" s="10" t="s">
        <v>44</v>
      </c>
      <c r="G338" s="11" t="s">
        <v>1499</v>
      </c>
      <c r="H338" s="10" t="n">
        <v>2025</v>
      </c>
      <c r="I338" s="10" t="s">
        <v>1500</v>
      </c>
      <c r="J338" s="11" t="s">
        <v>248</v>
      </c>
      <c r="K338" s="10" t="s">
        <v>61</v>
      </c>
      <c r="L338" s="10" t="s">
        <v>1501</v>
      </c>
    </row>
    <row r="339" customFormat="false" ht="15" hidden="false" customHeight="false" outlineLevel="0" collapsed="false">
      <c r="A339" s="10" t="s">
        <v>1502</v>
      </c>
      <c r="B339" s="10" t="s">
        <v>44</v>
      </c>
      <c r="C339" s="10" t="s">
        <v>45</v>
      </c>
      <c r="D339" s="10"/>
      <c r="E339" s="10"/>
      <c r="F339" s="10" t="s">
        <v>44</v>
      </c>
      <c r="G339" s="11" t="s">
        <v>1503</v>
      </c>
      <c r="H339" s="10" t="n">
        <v>2020</v>
      </c>
      <c r="I339" s="10" t="s">
        <v>1504</v>
      </c>
      <c r="J339" s="11" t="s">
        <v>1053</v>
      </c>
      <c r="K339" s="10" t="s">
        <v>61</v>
      </c>
      <c r="L339" s="10" t="s">
        <v>1505</v>
      </c>
    </row>
    <row r="340" customFormat="false" ht="23.85" hidden="false" customHeight="false" outlineLevel="0" collapsed="false">
      <c r="A340" s="10" t="s">
        <v>1506</v>
      </c>
      <c r="B340" s="10" t="s">
        <v>44</v>
      </c>
      <c r="C340" s="10" t="s">
        <v>45</v>
      </c>
      <c r="D340" s="10"/>
      <c r="E340" s="10"/>
      <c r="F340" s="10" t="s">
        <v>44</v>
      </c>
      <c r="G340" s="11" t="s">
        <v>1507</v>
      </c>
      <c r="H340" s="10" t="n">
        <v>2026</v>
      </c>
      <c r="I340" s="10" t="s">
        <v>1508</v>
      </c>
      <c r="J340" s="11" t="s">
        <v>248</v>
      </c>
      <c r="K340" s="10" t="s">
        <v>61</v>
      </c>
      <c r="L340" s="10" t="s">
        <v>1509</v>
      </c>
    </row>
    <row r="341" customFormat="false" ht="23.85" hidden="false" customHeight="false" outlineLevel="0" collapsed="false">
      <c r="A341" s="10" t="s">
        <v>1510</v>
      </c>
      <c r="B341" s="10" t="s">
        <v>44</v>
      </c>
      <c r="C341" s="10" t="s">
        <v>45</v>
      </c>
      <c r="D341" s="10"/>
      <c r="E341" s="10"/>
      <c r="F341" s="10" t="s">
        <v>44</v>
      </c>
      <c r="G341" s="11" t="s">
        <v>1511</v>
      </c>
      <c r="H341" s="10" t="n">
        <v>2021</v>
      </c>
      <c r="I341" s="10" t="s">
        <v>1512</v>
      </c>
      <c r="J341" s="11" t="s">
        <v>1513</v>
      </c>
      <c r="K341" s="10" t="s">
        <v>61</v>
      </c>
      <c r="L341" s="10" t="s">
        <v>1514</v>
      </c>
    </row>
    <row r="342" customFormat="false" ht="15" hidden="false" customHeight="false" outlineLevel="0" collapsed="false">
      <c r="A342" s="10" t="s">
        <v>1515</v>
      </c>
      <c r="B342" s="10" t="s">
        <v>44</v>
      </c>
      <c r="C342" s="10" t="s">
        <v>45</v>
      </c>
      <c r="D342" s="10"/>
      <c r="E342" s="10"/>
      <c r="F342" s="10" t="s">
        <v>44</v>
      </c>
      <c r="G342" s="11" t="s">
        <v>1516</v>
      </c>
      <c r="H342" s="10" t="n">
        <v>2025</v>
      </c>
      <c r="I342" s="10" t="s">
        <v>1517</v>
      </c>
      <c r="J342" s="11" t="s">
        <v>1518</v>
      </c>
      <c r="K342" s="10" t="s">
        <v>61</v>
      </c>
      <c r="L342" s="10" t="s">
        <v>1519</v>
      </c>
    </row>
    <row r="343" customFormat="false" ht="57.45" hidden="false" customHeight="false" outlineLevel="0" collapsed="false">
      <c r="A343" s="10" t="s">
        <v>1520</v>
      </c>
      <c r="B343" s="10" t="s">
        <v>44</v>
      </c>
      <c r="C343" s="10" t="s">
        <v>45</v>
      </c>
      <c r="D343" s="10"/>
      <c r="E343" s="10"/>
      <c r="F343" s="10" t="s">
        <v>44</v>
      </c>
      <c r="G343" s="11" t="s">
        <v>1521</v>
      </c>
      <c r="H343" s="10" t="n">
        <v>2019</v>
      </c>
      <c r="I343" s="10" t="s">
        <v>1522</v>
      </c>
      <c r="J343" s="11" t="s">
        <v>1523</v>
      </c>
      <c r="K343" s="10" t="s">
        <v>49</v>
      </c>
      <c r="L343" s="10" t="s">
        <v>1524</v>
      </c>
    </row>
    <row r="344" customFormat="false" ht="23.85" hidden="false" customHeight="false" outlineLevel="0" collapsed="false">
      <c r="A344" s="10" t="s">
        <v>1525</v>
      </c>
      <c r="B344" s="10" t="s">
        <v>44</v>
      </c>
      <c r="C344" s="10" t="s">
        <v>45</v>
      </c>
      <c r="D344" s="10"/>
      <c r="E344" s="10"/>
      <c r="F344" s="10" t="s">
        <v>44</v>
      </c>
      <c r="G344" s="11" t="s">
        <v>1526</v>
      </c>
      <c r="H344" s="10" t="n">
        <v>2022</v>
      </c>
      <c r="I344" s="10" t="s">
        <v>1527</v>
      </c>
      <c r="J344" s="11" t="s">
        <v>70</v>
      </c>
      <c r="K344" s="10" t="s">
        <v>49</v>
      </c>
      <c r="L344" s="10"/>
    </row>
    <row r="345" customFormat="false" ht="23.85" hidden="false" customHeight="false" outlineLevel="0" collapsed="false">
      <c r="A345" s="10" t="s">
        <v>1528</v>
      </c>
      <c r="B345" s="10" t="s">
        <v>44</v>
      </c>
      <c r="C345" s="10" t="s">
        <v>45</v>
      </c>
      <c r="D345" s="10"/>
      <c r="E345" s="10"/>
      <c r="F345" s="10" t="s">
        <v>170</v>
      </c>
      <c r="G345" s="11" t="s">
        <v>1529</v>
      </c>
      <c r="H345" s="10" t="n">
        <v>2023</v>
      </c>
      <c r="I345" s="10" t="s">
        <v>1530</v>
      </c>
      <c r="J345" s="11" t="s">
        <v>178</v>
      </c>
      <c r="K345" s="10" t="s">
        <v>61</v>
      </c>
      <c r="L345" s="10" t="s">
        <v>1531</v>
      </c>
    </row>
    <row r="346" customFormat="false" ht="46.25" hidden="false" customHeight="false" outlineLevel="0" collapsed="false">
      <c r="A346" s="10" t="s">
        <v>1532</v>
      </c>
      <c r="B346" s="10" t="s">
        <v>44</v>
      </c>
      <c r="C346" s="10" t="s">
        <v>45</v>
      </c>
      <c r="D346" s="10"/>
      <c r="E346" s="10"/>
      <c r="F346" s="10" t="s">
        <v>52</v>
      </c>
      <c r="G346" s="11" t="s">
        <v>1533</v>
      </c>
      <c r="H346" s="10" t="n">
        <v>2018</v>
      </c>
      <c r="I346" s="10" t="s">
        <v>1534</v>
      </c>
      <c r="J346" s="11" t="s">
        <v>1535</v>
      </c>
      <c r="K346" s="10" t="s">
        <v>49</v>
      </c>
      <c r="L346" s="10" t="s">
        <v>1536</v>
      </c>
    </row>
    <row r="347" customFormat="false" ht="15" hidden="false" customHeight="false" outlineLevel="0" collapsed="false">
      <c r="A347" s="10" t="s">
        <v>1537</v>
      </c>
      <c r="B347" s="10" t="s">
        <v>44</v>
      </c>
      <c r="C347" s="10" t="s">
        <v>45</v>
      </c>
      <c r="D347" s="10"/>
      <c r="E347" s="10"/>
      <c r="F347" s="10" t="s">
        <v>44</v>
      </c>
      <c r="G347" s="11" t="s">
        <v>1538</v>
      </c>
      <c r="H347" s="10" t="n">
        <v>2024</v>
      </c>
      <c r="I347" s="10" t="s">
        <v>1539</v>
      </c>
      <c r="J347" s="11" t="s">
        <v>66</v>
      </c>
      <c r="K347" s="10" t="s">
        <v>49</v>
      </c>
      <c r="L347" s="10"/>
    </row>
    <row r="348" customFormat="false" ht="23.85" hidden="false" customHeight="false" outlineLevel="0" collapsed="false">
      <c r="A348" s="10" t="s">
        <v>1540</v>
      </c>
      <c r="B348" s="10" t="s">
        <v>44</v>
      </c>
      <c r="C348" s="10" t="s">
        <v>45</v>
      </c>
      <c r="D348" s="10"/>
      <c r="E348" s="10"/>
      <c r="F348" s="10" t="s">
        <v>44</v>
      </c>
      <c r="G348" s="11" t="s">
        <v>1541</v>
      </c>
      <c r="H348" s="10" t="n">
        <v>2026</v>
      </c>
      <c r="I348" s="10" t="s">
        <v>1542</v>
      </c>
      <c r="J348" s="11" t="s">
        <v>1543</v>
      </c>
      <c r="K348" s="10" t="s">
        <v>61</v>
      </c>
      <c r="L348" s="10" t="s">
        <v>1544</v>
      </c>
    </row>
    <row r="349" customFormat="false" ht="23.85" hidden="false" customHeight="false" outlineLevel="0" collapsed="false">
      <c r="A349" s="10" t="s">
        <v>1545</v>
      </c>
      <c r="B349" s="10" t="s">
        <v>44</v>
      </c>
      <c r="C349" s="10" t="s">
        <v>45</v>
      </c>
      <c r="D349" s="10"/>
      <c r="E349" s="10"/>
      <c r="F349" s="10" t="s">
        <v>44</v>
      </c>
      <c r="G349" s="11" t="s">
        <v>1546</v>
      </c>
      <c r="H349" s="10" t="n">
        <v>2024</v>
      </c>
      <c r="I349" s="10" t="s">
        <v>1547</v>
      </c>
      <c r="J349" s="11" t="s">
        <v>1548</v>
      </c>
      <c r="K349" s="10" t="s">
        <v>49</v>
      </c>
      <c r="L349" s="10" t="s">
        <v>1549</v>
      </c>
    </row>
    <row r="350" customFormat="false" ht="23.85" hidden="false" customHeight="false" outlineLevel="0" collapsed="false">
      <c r="A350" s="10" t="s">
        <v>1550</v>
      </c>
      <c r="B350" s="10" t="s">
        <v>44</v>
      </c>
      <c r="C350" s="10" t="s">
        <v>45</v>
      </c>
      <c r="D350" s="10"/>
      <c r="E350" s="10"/>
      <c r="F350" s="10" t="s">
        <v>44</v>
      </c>
      <c r="G350" s="11" t="s">
        <v>1551</v>
      </c>
      <c r="H350" s="10" t="n">
        <v>2025</v>
      </c>
      <c r="I350" s="10" t="s">
        <v>963</v>
      </c>
      <c r="J350" s="11" t="s">
        <v>273</v>
      </c>
      <c r="K350" s="10" t="s">
        <v>49</v>
      </c>
      <c r="L350" s="10"/>
    </row>
    <row r="351" customFormat="false" ht="23.85" hidden="false" customHeight="false" outlineLevel="0" collapsed="false">
      <c r="A351" s="10" t="s">
        <v>1552</v>
      </c>
      <c r="B351" s="10" t="s">
        <v>44</v>
      </c>
      <c r="C351" s="10" t="s">
        <v>45</v>
      </c>
      <c r="D351" s="10"/>
      <c r="E351" s="10"/>
      <c r="F351" s="10" t="s">
        <v>52</v>
      </c>
      <c r="G351" s="11" t="s">
        <v>1553</v>
      </c>
      <c r="H351" s="10" t="n">
        <v>2025</v>
      </c>
      <c r="I351" s="10" t="s">
        <v>1554</v>
      </c>
      <c r="J351" s="11" t="s">
        <v>663</v>
      </c>
      <c r="K351" s="10" t="s">
        <v>61</v>
      </c>
      <c r="L351" s="10" t="s">
        <v>1555</v>
      </c>
    </row>
    <row r="352" customFormat="false" ht="23.85" hidden="false" customHeight="false" outlineLevel="0" collapsed="false">
      <c r="A352" s="10" t="s">
        <v>1556</v>
      </c>
      <c r="B352" s="10" t="s">
        <v>44</v>
      </c>
      <c r="C352" s="10" t="s">
        <v>45</v>
      </c>
      <c r="D352" s="10"/>
      <c r="E352" s="10"/>
      <c r="F352" s="10" t="s">
        <v>44</v>
      </c>
      <c r="G352" s="11" t="s">
        <v>1557</v>
      </c>
      <c r="H352" s="10" t="n">
        <v>2019</v>
      </c>
      <c r="I352" s="10" t="s">
        <v>1558</v>
      </c>
      <c r="J352" s="11" t="s">
        <v>460</v>
      </c>
      <c r="K352" s="10" t="s">
        <v>61</v>
      </c>
      <c r="L352" s="10" t="s">
        <v>1559</v>
      </c>
    </row>
    <row r="353" customFormat="false" ht="35.05" hidden="false" customHeight="false" outlineLevel="0" collapsed="false">
      <c r="A353" s="10" t="s">
        <v>1560</v>
      </c>
      <c r="B353" s="10" t="s">
        <v>44</v>
      </c>
      <c r="C353" s="10" t="s">
        <v>45</v>
      </c>
      <c r="D353" s="10"/>
      <c r="E353" s="10"/>
      <c r="F353" s="10" t="s">
        <v>52</v>
      </c>
      <c r="G353" s="11" t="s">
        <v>1561</v>
      </c>
      <c r="H353" s="10" t="n">
        <v>2020</v>
      </c>
      <c r="I353" s="10" t="s">
        <v>1562</v>
      </c>
      <c r="J353" s="11" t="s">
        <v>1563</v>
      </c>
      <c r="K353" s="10" t="s">
        <v>49</v>
      </c>
      <c r="L353" s="10" t="s">
        <v>1564</v>
      </c>
    </row>
    <row r="354" customFormat="false" ht="23.85" hidden="false" customHeight="false" outlineLevel="0" collapsed="false">
      <c r="A354" s="10" t="s">
        <v>1565</v>
      </c>
      <c r="B354" s="10" t="s">
        <v>44</v>
      </c>
      <c r="C354" s="10" t="s">
        <v>45</v>
      </c>
      <c r="D354" s="10"/>
      <c r="E354" s="10"/>
      <c r="F354" s="10" t="s">
        <v>44</v>
      </c>
      <c r="G354" s="11" t="s">
        <v>1566</v>
      </c>
      <c r="H354" s="10" t="n">
        <v>2023</v>
      </c>
      <c r="I354" s="10" t="s">
        <v>1567</v>
      </c>
      <c r="J354" s="11" t="s">
        <v>70</v>
      </c>
      <c r="K354" s="10" t="s">
        <v>49</v>
      </c>
      <c r="L354" s="10"/>
    </row>
    <row r="355" customFormat="false" ht="15" hidden="false" customHeight="false" outlineLevel="0" collapsed="false">
      <c r="A355" s="10" t="s">
        <v>1568</v>
      </c>
      <c r="B355" s="10" t="s">
        <v>44</v>
      </c>
      <c r="C355" s="10" t="s">
        <v>45</v>
      </c>
      <c r="D355" s="10"/>
      <c r="E355" s="10"/>
      <c r="F355" s="10" t="s">
        <v>44</v>
      </c>
      <c r="G355" s="11" t="s">
        <v>1569</v>
      </c>
      <c r="H355" s="10" t="n">
        <v>2023</v>
      </c>
      <c r="I355" s="10" t="s">
        <v>1570</v>
      </c>
      <c r="J355" s="11" t="s">
        <v>66</v>
      </c>
      <c r="K355" s="10" t="s">
        <v>49</v>
      </c>
      <c r="L355" s="10"/>
    </row>
    <row r="356" customFormat="false" ht="15" hidden="false" customHeight="false" outlineLevel="0" collapsed="false">
      <c r="A356" s="10" t="s">
        <v>1571</v>
      </c>
      <c r="B356" s="10" t="s">
        <v>44</v>
      </c>
      <c r="C356" s="10" t="s">
        <v>45</v>
      </c>
      <c r="D356" s="10"/>
      <c r="E356" s="10"/>
      <c r="F356" s="10" t="s">
        <v>44</v>
      </c>
      <c r="G356" s="11" t="s">
        <v>1572</v>
      </c>
      <c r="H356" s="10" t="n">
        <v>2023</v>
      </c>
      <c r="I356" s="10" t="s">
        <v>1573</v>
      </c>
      <c r="J356" s="11" t="s">
        <v>66</v>
      </c>
      <c r="K356" s="10" t="s">
        <v>49</v>
      </c>
      <c r="L356" s="10"/>
    </row>
    <row r="357" customFormat="false" ht="23.85" hidden="false" customHeight="false" outlineLevel="0" collapsed="false">
      <c r="A357" s="10" t="s">
        <v>1574</v>
      </c>
      <c r="B357" s="10" t="s">
        <v>44</v>
      </c>
      <c r="C357" s="10" t="s">
        <v>45</v>
      </c>
      <c r="D357" s="10"/>
      <c r="E357" s="10"/>
      <c r="F357" s="10" t="s">
        <v>44</v>
      </c>
      <c r="G357" s="11" t="s">
        <v>1575</v>
      </c>
      <c r="H357" s="10" t="n">
        <v>2021</v>
      </c>
      <c r="I357" s="10" t="s">
        <v>1576</v>
      </c>
      <c r="J357" s="11" t="s">
        <v>1577</v>
      </c>
      <c r="K357" s="10" t="s">
        <v>49</v>
      </c>
      <c r="L357" s="10" t="s">
        <v>1578</v>
      </c>
    </row>
    <row r="358" customFormat="false" ht="15" hidden="false" customHeight="false" outlineLevel="0" collapsed="false">
      <c r="A358" s="10" t="s">
        <v>1579</v>
      </c>
      <c r="B358" s="10" t="s">
        <v>44</v>
      </c>
      <c r="C358" s="10" t="s">
        <v>45</v>
      </c>
      <c r="D358" s="10"/>
      <c r="E358" s="10"/>
      <c r="F358" s="10" t="s">
        <v>44</v>
      </c>
      <c r="G358" s="11" t="s">
        <v>1580</v>
      </c>
      <c r="H358" s="10" t="n">
        <v>2020</v>
      </c>
      <c r="I358" s="10" t="s">
        <v>1581</v>
      </c>
      <c r="J358" s="11" t="s">
        <v>1582</v>
      </c>
      <c r="K358" s="10" t="s">
        <v>61</v>
      </c>
      <c r="L358" s="10" t="s">
        <v>1583</v>
      </c>
    </row>
    <row r="359" customFormat="false" ht="23.85" hidden="false" customHeight="false" outlineLevel="0" collapsed="false">
      <c r="A359" s="10" t="s">
        <v>1584</v>
      </c>
      <c r="B359" s="10" t="s">
        <v>44</v>
      </c>
      <c r="C359" s="10" t="s">
        <v>45</v>
      </c>
      <c r="D359" s="10"/>
      <c r="E359" s="10"/>
      <c r="F359" s="10" t="s">
        <v>52</v>
      </c>
      <c r="G359" s="11" t="s">
        <v>1585</v>
      </c>
      <c r="H359" s="10" t="n">
        <v>2025</v>
      </c>
      <c r="I359" s="10" t="s">
        <v>1586</v>
      </c>
      <c r="J359" s="11" t="s">
        <v>311</v>
      </c>
      <c r="K359" s="10" t="s">
        <v>49</v>
      </c>
      <c r="L359" s="10" t="s">
        <v>1587</v>
      </c>
    </row>
    <row r="360" customFormat="false" ht="23.85" hidden="false" customHeight="false" outlineLevel="0" collapsed="false">
      <c r="A360" s="10" t="s">
        <v>1588</v>
      </c>
      <c r="B360" s="10" t="s">
        <v>44</v>
      </c>
      <c r="C360" s="10" t="s">
        <v>45</v>
      </c>
      <c r="D360" s="10"/>
      <c r="E360" s="10"/>
      <c r="F360" s="10" t="s">
        <v>44</v>
      </c>
      <c r="G360" s="11" t="s">
        <v>1589</v>
      </c>
      <c r="H360" s="10" t="n">
        <v>2024</v>
      </c>
      <c r="I360" s="10" t="s">
        <v>1590</v>
      </c>
      <c r="J360" s="11" t="s">
        <v>70</v>
      </c>
      <c r="K360" s="10" t="s">
        <v>49</v>
      </c>
      <c r="L360" s="10"/>
    </row>
    <row r="361" customFormat="false" ht="15" hidden="false" customHeight="false" outlineLevel="0" collapsed="false">
      <c r="A361" s="10" t="s">
        <v>1591</v>
      </c>
      <c r="B361" s="10" t="s">
        <v>44</v>
      </c>
      <c r="C361" s="10" t="s">
        <v>45</v>
      </c>
      <c r="D361" s="10"/>
      <c r="E361" s="10"/>
      <c r="F361" s="10" t="s">
        <v>44</v>
      </c>
      <c r="G361" s="11" t="s">
        <v>1592</v>
      </c>
      <c r="H361" s="10" t="n">
        <v>2025</v>
      </c>
      <c r="I361" s="10" t="s">
        <v>1593</v>
      </c>
      <c r="J361" s="11" t="s">
        <v>1594</v>
      </c>
      <c r="K361" s="10" t="s">
        <v>61</v>
      </c>
      <c r="L361" s="10" t="s">
        <v>1595</v>
      </c>
    </row>
    <row r="362" customFormat="false" ht="35.05" hidden="false" customHeight="false" outlineLevel="0" collapsed="false">
      <c r="A362" s="10" t="s">
        <v>1596</v>
      </c>
      <c r="B362" s="10" t="s">
        <v>44</v>
      </c>
      <c r="C362" s="10" t="s">
        <v>45</v>
      </c>
      <c r="D362" s="10"/>
      <c r="E362" s="10"/>
      <c r="F362" s="10" t="s">
        <v>52</v>
      </c>
      <c r="G362" s="11" t="s">
        <v>1597</v>
      </c>
      <c r="H362" s="10" t="n">
        <v>2026</v>
      </c>
      <c r="I362" s="10" t="s">
        <v>1598</v>
      </c>
      <c r="J362" s="11" t="s">
        <v>796</v>
      </c>
      <c r="K362" s="10" t="s">
        <v>49</v>
      </c>
      <c r="L362" s="10" t="s">
        <v>1599</v>
      </c>
    </row>
    <row r="363" customFormat="false" ht="35.05" hidden="false" customHeight="false" outlineLevel="0" collapsed="false">
      <c r="A363" s="10" t="s">
        <v>1600</v>
      </c>
      <c r="B363" s="10" t="s">
        <v>44</v>
      </c>
      <c r="C363" s="10" t="s">
        <v>45</v>
      </c>
      <c r="D363" s="10"/>
      <c r="E363" s="10"/>
      <c r="F363" s="10" t="s">
        <v>44</v>
      </c>
      <c r="G363" s="11" t="s">
        <v>1601</v>
      </c>
      <c r="H363" s="10" t="n">
        <v>2021</v>
      </c>
      <c r="I363" s="10" t="s">
        <v>1602</v>
      </c>
      <c r="J363" s="11" t="s">
        <v>48</v>
      </c>
      <c r="K363" s="10" t="s">
        <v>49</v>
      </c>
      <c r="L363" s="10" t="s">
        <v>1603</v>
      </c>
    </row>
    <row r="364" customFormat="false" ht="23.85" hidden="false" customHeight="false" outlineLevel="0" collapsed="false">
      <c r="A364" s="10" t="s">
        <v>1604</v>
      </c>
      <c r="B364" s="10" t="s">
        <v>44</v>
      </c>
      <c r="C364" s="10" t="s">
        <v>45</v>
      </c>
      <c r="D364" s="10"/>
      <c r="E364" s="10"/>
      <c r="F364" s="10" t="s">
        <v>44</v>
      </c>
      <c r="G364" s="11" t="s">
        <v>1605</v>
      </c>
      <c r="H364" s="10" t="n">
        <v>2025</v>
      </c>
      <c r="I364" s="10" t="s">
        <v>1606</v>
      </c>
      <c r="J364" s="11" t="s">
        <v>273</v>
      </c>
      <c r="K364" s="10" t="s">
        <v>49</v>
      </c>
      <c r="L364" s="10"/>
    </row>
    <row r="365" customFormat="false" ht="35.05" hidden="false" customHeight="false" outlineLevel="0" collapsed="false">
      <c r="A365" s="10" t="s">
        <v>1607</v>
      </c>
      <c r="B365" s="10" t="s">
        <v>44</v>
      </c>
      <c r="C365" s="10" t="s">
        <v>45</v>
      </c>
      <c r="D365" s="10"/>
      <c r="E365" s="10"/>
      <c r="F365" s="10" t="s">
        <v>44</v>
      </c>
      <c r="G365" s="11" t="s">
        <v>1608</v>
      </c>
      <c r="H365" s="10" t="n">
        <v>2025</v>
      </c>
      <c r="I365" s="10" t="s">
        <v>1609</v>
      </c>
      <c r="J365" s="11" t="s">
        <v>48</v>
      </c>
      <c r="K365" s="10" t="s">
        <v>49</v>
      </c>
      <c r="L365" s="10" t="s">
        <v>1610</v>
      </c>
    </row>
    <row r="366" customFormat="false" ht="23.85" hidden="false" customHeight="false" outlineLevel="0" collapsed="false">
      <c r="A366" s="10" t="s">
        <v>1611</v>
      </c>
      <c r="B366" s="10" t="s">
        <v>44</v>
      </c>
      <c r="C366" s="10" t="s">
        <v>45</v>
      </c>
      <c r="D366" s="10"/>
      <c r="E366" s="10"/>
      <c r="F366" s="10" t="s">
        <v>44</v>
      </c>
      <c r="G366" s="11" t="s">
        <v>1612</v>
      </c>
      <c r="H366" s="10" t="n">
        <v>2024</v>
      </c>
      <c r="I366" s="10" t="s">
        <v>921</v>
      </c>
      <c r="J366" s="11" t="s">
        <v>1613</v>
      </c>
      <c r="K366" s="10" t="s">
        <v>61</v>
      </c>
      <c r="L366" s="10" t="s">
        <v>1614</v>
      </c>
    </row>
    <row r="367" customFormat="false" ht="23.85" hidden="false" customHeight="false" outlineLevel="0" collapsed="false">
      <c r="A367" s="10" t="s">
        <v>1615</v>
      </c>
      <c r="B367" s="10" t="s">
        <v>44</v>
      </c>
      <c r="C367" s="10" t="s">
        <v>45</v>
      </c>
      <c r="D367" s="10"/>
      <c r="E367" s="10"/>
      <c r="F367" s="10" t="s">
        <v>44</v>
      </c>
      <c r="G367" s="11" t="s">
        <v>1616</v>
      </c>
      <c r="H367" s="10" t="n">
        <v>2022</v>
      </c>
      <c r="I367" s="10" t="s">
        <v>1617</v>
      </c>
      <c r="J367" s="11" t="s">
        <v>1618</v>
      </c>
      <c r="K367" s="10" t="s">
        <v>49</v>
      </c>
      <c r="L367" s="10"/>
    </row>
    <row r="368" customFormat="false" ht="23.85" hidden="false" customHeight="false" outlineLevel="0" collapsed="false">
      <c r="A368" s="10" t="s">
        <v>1619</v>
      </c>
      <c r="B368" s="10" t="s">
        <v>44</v>
      </c>
      <c r="C368" s="10" t="s">
        <v>45</v>
      </c>
      <c r="D368" s="10"/>
      <c r="E368" s="10"/>
      <c r="F368" s="10" t="s">
        <v>52</v>
      </c>
      <c r="G368" s="11" t="s">
        <v>1620</v>
      </c>
      <c r="H368" s="10" t="n">
        <v>2025</v>
      </c>
      <c r="I368" s="10" t="s">
        <v>896</v>
      </c>
      <c r="J368" s="11" t="s">
        <v>1621</v>
      </c>
      <c r="K368" s="10" t="s">
        <v>61</v>
      </c>
      <c r="L368" s="10" t="s">
        <v>1622</v>
      </c>
    </row>
    <row r="369" customFormat="false" ht="23.85" hidden="false" customHeight="false" outlineLevel="0" collapsed="false">
      <c r="A369" s="10" t="s">
        <v>1623</v>
      </c>
      <c r="B369" s="10" t="s">
        <v>44</v>
      </c>
      <c r="C369" s="10" t="s">
        <v>45</v>
      </c>
      <c r="D369" s="10"/>
      <c r="E369" s="10"/>
      <c r="F369" s="10" t="s">
        <v>44</v>
      </c>
      <c r="G369" s="11" t="s">
        <v>1624</v>
      </c>
      <c r="H369" s="10" t="n">
        <v>2025</v>
      </c>
      <c r="I369" s="10" t="s">
        <v>1625</v>
      </c>
      <c r="J369" s="11" t="s">
        <v>70</v>
      </c>
      <c r="K369" s="10" t="s">
        <v>49</v>
      </c>
      <c r="L369" s="10"/>
    </row>
    <row r="370" customFormat="false" ht="23.85" hidden="false" customHeight="false" outlineLevel="0" collapsed="false">
      <c r="A370" s="10" t="s">
        <v>1626</v>
      </c>
      <c r="B370" s="10" t="s">
        <v>44</v>
      </c>
      <c r="C370" s="10" t="s">
        <v>45</v>
      </c>
      <c r="D370" s="10"/>
      <c r="E370" s="10"/>
      <c r="F370" s="10" t="s">
        <v>44</v>
      </c>
      <c r="G370" s="11" t="s">
        <v>1627</v>
      </c>
      <c r="H370" s="10" t="n">
        <v>2019</v>
      </c>
      <c r="I370" s="10" t="s">
        <v>59</v>
      </c>
      <c r="J370" s="11" t="s">
        <v>223</v>
      </c>
      <c r="K370" s="10" t="s">
        <v>49</v>
      </c>
      <c r="L370" s="10" t="s">
        <v>1628</v>
      </c>
    </row>
    <row r="371" customFormat="false" ht="15" hidden="false" customHeight="false" outlineLevel="0" collapsed="false">
      <c r="A371" s="10" t="s">
        <v>1629</v>
      </c>
      <c r="B371" s="10" t="s">
        <v>44</v>
      </c>
      <c r="C371" s="10" t="s">
        <v>45</v>
      </c>
      <c r="D371" s="10"/>
      <c r="E371" s="10"/>
      <c r="F371" s="10" t="s">
        <v>44</v>
      </c>
      <c r="G371" s="11" t="s">
        <v>1630</v>
      </c>
      <c r="H371" s="10" t="n">
        <v>2022</v>
      </c>
      <c r="I371" s="10" t="s">
        <v>1631</v>
      </c>
      <c r="J371" s="11" t="s">
        <v>1632</v>
      </c>
      <c r="K371" s="10" t="s">
        <v>61</v>
      </c>
      <c r="L371" s="10" t="s">
        <v>1633</v>
      </c>
    </row>
    <row r="372" customFormat="false" ht="23.85" hidden="false" customHeight="false" outlineLevel="0" collapsed="false">
      <c r="A372" s="10" t="s">
        <v>1634</v>
      </c>
      <c r="B372" s="10" t="s">
        <v>44</v>
      </c>
      <c r="C372" s="10" t="s">
        <v>45</v>
      </c>
      <c r="D372" s="10"/>
      <c r="E372" s="10"/>
      <c r="F372" s="10" t="s">
        <v>44</v>
      </c>
      <c r="G372" s="11" t="s">
        <v>1635</v>
      </c>
      <c r="H372" s="10" t="n">
        <v>2023</v>
      </c>
      <c r="I372" s="10" t="s">
        <v>1636</v>
      </c>
      <c r="J372" s="11" t="s">
        <v>70</v>
      </c>
      <c r="K372" s="10" t="s">
        <v>49</v>
      </c>
      <c r="L372" s="10"/>
    </row>
    <row r="373" customFormat="false" ht="23.85" hidden="false" customHeight="false" outlineLevel="0" collapsed="false">
      <c r="A373" s="10" t="s">
        <v>1637</v>
      </c>
      <c r="B373" s="10" t="s">
        <v>44</v>
      </c>
      <c r="C373" s="10" t="s">
        <v>45</v>
      </c>
      <c r="D373" s="10"/>
      <c r="E373" s="10"/>
      <c r="F373" s="10" t="s">
        <v>52</v>
      </c>
      <c r="G373" s="11" t="s">
        <v>1638</v>
      </c>
      <c r="H373" s="10" t="n">
        <v>2025</v>
      </c>
      <c r="I373" s="10" t="s">
        <v>1639</v>
      </c>
      <c r="J373" s="11" t="s">
        <v>311</v>
      </c>
      <c r="K373" s="10" t="s">
        <v>49</v>
      </c>
      <c r="L373" s="10" t="s">
        <v>1640</v>
      </c>
    </row>
    <row r="374" customFormat="false" ht="23.85" hidden="false" customHeight="false" outlineLevel="0" collapsed="false">
      <c r="A374" s="10" t="s">
        <v>1641</v>
      </c>
      <c r="B374" s="10" t="s">
        <v>44</v>
      </c>
      <c r="C374" s="10" t="s">
        <v>45</v>
      </c>
      <c r="D374" s="10"/>
      <c r="E374" s="10"/>
      <c r="F374" s="10" t="s">
        <v>52</v>
      </c>
      <c r="G374" s="11" t="s">
        <v>1642</v>
      </c>
      <c r="H374" s="10" t="n">
        <v>2018</v>
      </c>
      <c r="I374" s="10" t="s">
        <v>1643</v>
      </c>
      <c r="J374" s="11" t="s">
        <v>82</v>
      </c>
      <c r="K374" s="10" t="s">
        <v>49</v>
      </c>
      <c r="L374" s="10" t="s">
        <v>1644</v>
      </c>
    </row>
    <row r="375" customFormat="false" ht="23.85" hidden="false" customHeight="false" outlineLevel="0" collapsed="false">
      <c r="A375" s="10" t="s">
        <v>1645</v>
      </c>
      <c r="B375" s="10" t="s">
        <v>44</v>
      </c>
      <c r="C375" s="10" t="s">
        <v>45</v>
      </c>
      <c r="D375" s="10"/>
      <c r="E375" s="10"/>
      <c r="F375" s="10" t="s">
        <v>44</v>
      </c>
      <c r="G375" s="11" t="s">
        <v>1646</v>
      </c>
      <c r="H375" s="10" t="n">
        <v>2018</v>
      </c>
      <c r="I375" s="10" t="s">
        <v>1647</v>
      </c>
      <c r="J375" s="11" t="s">
        <v>1648</v>
      </c>
      <c r="K375" s="10" t="s">
        <v>61</v>
      </c>
      <c r="L375" s="10" t="s">
        <v>1649</v>
      </c>
    </row>
    <row r="376" customFormat="false" ht="23.85" hidden="false" customHeight="false" outlineLevel="0" collapsed="false">
      <c r="A376" s="10" t="s">
        <v>1650</v>
      </c>
      <c r="B376" s="10" t="s">
        <v>44</v>
      </c>
      <c r="C376" s="10" t="s">
        <v>45</v>
      </c>
      <c r="D376" s="10"/>
      <c r="E376" s="10"/>
      <c r="F376" s="10" t="s">
        <v>44</v>
      </c>
      <c r="G376" s="11" t="s">
        <v>1651</v>
      </c>
      <c r="H376" s="10" t="n">
        <v>2026</v>
      </c>
      <c r="I376" s="10" t="s">
        <v>1652</v>
      </c>
      <c r="J376" s="11" t="s">
        <v>223</v>
      </c>
      <c r="K376" s="10" t="s">
        <v>49</v>
      </c>
      <c r="L376" s="10" t="s">
        <v>1653</v>
      </c>
    </row>
    <row r="377" customFormat="false" ht="23.85" hidden="false" customHeight="false" outlineLevel="0" collapsed="false">
      <c r="A377" s="10" t="s">
        <v>1654</v>
      </c>
      <c r="B377" s="10" t="s">
        <v>44</v>
      </c>
      <c r="C377" s="10" t="s">
        <v>45</v>
      </c>
      <c r="D377" s="10"/>
      <c r="E377" s="10"/>
      <c r="F377" s="10" t="s">
        <v>44</v>
      </c>
      <c r="G377" s="11" t="s">
        <v>1655</v>
      </c>
      <c r="H377" s="10" t="n">
        <v>2022</v>
      </c>
      <c r="I377" s="10" t="s">
        <v>1656</v>
      </c>
      <c r="J377" s="11" t="s">
        <v>1577</v>
      </c>
      <c r="K377" s="10" t="s">
        <v>49</v>
      </c>
      <c r="L377" s="10" t="s">
        <v>1657</v>
      </c>
    </row>
    <row r="378" customFormat="false" ht="23.85" hidden="false" customHeight="false" outlineLevel="0" collapsed="false">
      <c r="A378" s="10" t="s">
        <v>1658</v>
      </c>
      <c r="B378" s="10" t="s">
        <v>44</v>
      </c>
      <c r="C378" s="10" t="s">
        <v>45</v>
      </c>
      <c r="D378" s="10"/>
      <c r="E378" s="10"/>
      <c r="F378" s="10" t="s">
        <v>44</v>
      </c>
      <c r="G378" s="11" t="s">
        <v>1659</v>
      </c>
      <c r="H378" s="10" t="n">
        <v>2025</v>
      </c>
      <c r="I378" s="10" t="s">
        <v>1660</v>
      </c>
      <c r="J378" s="11" t="s">
        <v>1661</v>
      </c>
      <c r="K378" s="10" t="s">
        <v>61</v>
      </c>
      <c r="L378" s="10" t="s">
        <v>1662</v>
      </c>
    </row>
    <row r="379" customFormat="false" ht="23.85" hidden="false" customHeight="false" outlineLevel="0" collapsed="false">
      <c r="A379" s="10" t="s">
        <v>1663</v>
      </c>
      <c r="B379" s="10" t="s">
        <v>44</v>
      </c>
      <c r="C379" s="10" t="s">
        <v>45</v>
      </c>
      <c r="D379" s="10"/>
      <c r="E379" s="10"/>
      <c r="F379" s="10" t="s">
        <v>44</v>
      </c>
      <c r="G379" s="11" t="s">
        <v>1664</v>
      </c>
      <c r="H379" s="10" t="n">
        <v>2025</v>
      </c>
      <c r="I379" s="10" t="s">
        <v>1665</v>
      </c>
      <c r="J379" s="11" t="s">
        <v>70</v>
      </c>
      <c r="K379" s="10" t="s">
        <v>49</v>
      </c>
      <c r="L379" s="10"/>
    </row>
    <row r="380" customFormat="false" ht="23.85" hidden="false" customHeight="false" outlineLevel="0" collapsed="false">
      <c r="A380" s="10" t="s">
        <v>1666</v>
      </c>
      <c r="B380" s="10" t="s">
        <v>44</v>
      </c>
      <c r="C380" s="10" t="s">
        <v>45</v>
      </c>
      <c r="D380" s="10"/>
      <c r="E380" s="10"/>
      <c r="F380" s="10" t="s">
        <v>52</v>
      </c>
      <c r="G380" s="11" t="s">
        <v>1667</v>
      </c>
      <c r="H380" s="10" t="n">
        <v>2025</v>
      </c>
      <c r="I380" s="10" t="s">
        <v>1668</v>
      </c>
      <c r="J380" s="11" t="s">
        <v>1669</v>
      </c>
      <c r="K380" s="10" t="s">
        <v>49</v>
      </c>
      <c r="L380" s="10" t="s">
        <v>1670</v>
      </c>
    </row>
    <row r="381" customFormat="false" ht="35.05" hidden="false" customHeight="false" outlineLevel="0" collapsed="false">
      <c r="A381" s="10" t="s">
        <v>1671</v>
      </c>
      <c r="B381" s="10" t="s">
        <v>44</v>
      </c>
      <c r="C381" s="10" t="s">
        <v>45</v>
      </c>
      <c r="D381" s="10"/>
      <c r="E381" s="10"/>
      <c r="F381" s="10" t="s">
        <v>170</v>
      </c>
      <c r="G381" s="11" t="s">
        <v>1672</v>
      </c>
      <c r="H381" s="10" t="n">
        <v>2023</v>
      </c>
      <c r="I381" s="10" t="s">
        <v>1673</v>
      </c>
      <c r="J381" s="11" t="s">
        <v>1674</v>
      </c>
      <c r="K381" s="10" t="s">
        <v>49</v>
      </c>
      <c r="L381" s="10" t="s">
        <v>1675</v>
      </c>
    </row>
    <row r="382" customFormat="false" ht="15" hidden="false" customHeight="false" outlineLevel="0" collapsed="false">
      <c r="A382" s="10" t="s">
        <v>1676</v>
      </c>
      <c r="B382" s="10" t="s">
        <v>44</v>
      </c>
      <c r="C382" s="10" t="s">
        <v>45</v>
      </c>
      <c r="D382" s="10"/>
      <c r="E382" s="10"/>
      <c r="F382" s="10" t="s">
        <v>44</v>
      </c>
      <c r="G382" s="11" t="s">
        <v>1677</v>
      </c>
      <c r="H382" s="10" t="n">
        <v>2025</v>
      </c>
      <c r="I382" s="10" t="s">
        <v>1678</v>
      </c>
      <c r="J382" s="11" t="s">
        <v>478</v>
      </c>
      <c r="K382" s="10" t="s">
        <v>61</v>
      </c>
      <c r="L382" s="10"/>
    </row>
    <row r="383" customFormat="false" ht="23.85" hidden="false" customHeight="false" outlineLevel="0" collapsed="false">
      <c r="A383" s="10" t="s">
        <v>1679</v>
      </c>
      <c r="B383" s="10" t="s">
        <v>44</v>
      </c>
      <c r="C383" s="10" t="s">
        <v>45</v>
      </c>
      <c r="D383" s="10"/>
      <c r="E383" s="10"/>
      <c r="F383" s="10" t="s">
        <v>44</v>
      </c>
      <c r="G383" s="11" t="s">
        <v>1680</v>
      </c>
      <c r="H383" s="10" t="n">
        <v>2025</v>
      </c>
      <c r="I383" s="10" t="s">
        <v>1681</v>
      </c>
      <c r="J383" s="11" t="s">
        <v>70</v>
      </c>
      <c r="K383" s="10" t="s">
        <v>49</v>
      </c>
      <c r="L383" s="10"/>
    </row>
    <row r="384" customFormat="false" ht="15" hidden="false" customHeight="false" outlineLevel="0" collapsed="false">
      <c r="A384" s="10" t="s">
        <v>1682</v>
      </c>
      <c r="B384" s="10" t="s">
        <v>44</v>
      </c>
      <c r="C384" s="10" t="s">
        <v>45</v>
      </c>
      <c r="D384" s="10"/>
      <c r="E384" s="10"/>
      <c r="F384" s="10" t="s">
        <v>44</v>
      </c>
      <c r="G384" s="11" t="s">
        <v>1683</v>
      </c>
      <c r="H384" s="10" t="n">
        <v>2022</v>
      </c>
      <c r="I384" s="10" t="s">
        <v>1684</v>
      </c>
      <c r="J384" s="11" t="s">
        <v>66</v>
      </c>
      <c r="K384" s="10" t="s">
        <v>49</v>
      </c>
      <c r="L384" s="10"/>
    </row>
    <row r="385" customFormat="false" ht="23.85" hidden="false" customHeight="false" outlineLevel="0" collapsed="false">
      <c r="A385" s="10" t="s">
        <v>1685</v>
      </c>
      <c r="B385" s="10" t="s">
        <v>44</v>
      </c>
      <c r="C385" s="10" t="s">
        <v>45</v>
      </c>
      <c r="D385" s="10"/>
      <c r="E385" s="10"/>
      <c r="F385" s="10" t="s">
        <v>44</v>
      </c>
      <c r="G385" s="11" t="s">
        <v>1686</v>
      </c>
      <c r="H385" s="10" t="n">
        <v>2025</v>
      </c>
      <c r="I385" s="10" t="s">
        <v>1687</v>
      </c>
      <c r="J385" s="11" t="s">
        <v>1688</v>
      </c>
      <c r="K385" s="10" t="s">
        <v>61</v>
      </c>
      <c r="L385" s="10" t="s">
        <v>1689</v>
      </c>
    </row>
    <row r="386" customFormat="false" ht="23.85" hidden="false" customHeight="false" outlineLevel="0" collapsed="false">
      <c r="A386" s="10" t="s">
        <v>1690</v>
      </c>
      <c r="B386" s="10" t="s">
        <v>44</v>
      </c>
      <c r="C386" s="10" t="s">
        <v>45</v>
      </c>
      <c r="D386" s="10"/>
      <c r="E386" s="10"/>
      <c r="F386" s="10" t="s">
        <v>44</v>
      </c>
      <c r="G386" s="11" t="s">
        <v>1691</v>
      </c>
      <c r="H386" s="10" t="n">
        <v>2025</v>
      </c>
      <c r="I386" s="10" t="s">
        <v>1692</v>
      </c>
      <c r="J386" s="11" t="s">
        <v>1220</v>
      </c>
      <c r="K386" s="10" t="s">
        <v>49</v>
      </c>
      <c r="L386" s="10" t="s">
        <v>1693</v>
      </c>
    </row>
    <row r="387" customFormat="false" ht="23.85" hidden="false" customHeight="false" outlineLevel="0" collapsed="false">
      <c r="A387" s="10" t="s">
        <v>1694</v>
      </c>
      <c r="B387" s="10" t="s">
        <v>44</v>
      </c>
      <c r="C387" s="10" t="s">
        <v>45</v>
      </c>
      <c r="D387" s="10"/>
      <c r="E387" s="10"/>
      <c r="F387" s="10" t="s">
        <v>44</v>
      </c>
      <c r="G387" s="11" t="s">
        <v>1695</v>
      </c>
      <c r="H387" s="10" t="n">
        <v>2019</v>
      </c>
      <c r="I387" s="10" t="s">
        <v>1696</v>
      </c>
      <c r="J387" s="11" t="s">
        <v>1697</v>
      </c>
      <c r="K387" s="10" t="s">
        <v>61</v>
      </c>
      <c r="L387" s="10" t="s">
        <v>1698</v>
      </c>
    </row>
    <row r="388" customFormat="false" ht="15" hidden="false" customHeight="false" outlineLevel="0" collapsed="false">
      <c r="A388" s="10" t="s">
        <v>1699</v>
      </c>
      <c r="B388" s="10" t="s">
        <v>44</v>
      </c>
      <c r="C388" s="10" t="s">
        <v>45</v>
      </c>
      <c r="D388" s="10"/>
      <c r="E388" s="10"/>
      <c r="F388" s="10" t="s">
        <v>44</v>
      </c>
      <c r="G388" s="11" t="s">
        <v>1700</v>
      </c>
      <c r="H388" s="10" t="n">
        <v>2025</v>
      </c>
      <c r="I388" s="10" t="s">
        <v>1701</v>
      </c>
      <c r="J388" s="11" t="s">
        <v>66</v>
      </c>
      <c r="K388" s="10" t="s">
        <v>49</v>
      </c>
      <c r="L388" s="10"/>
    </row>
    <row r="389" customFormat="false" ht="35.05" hidden="false" customHeight="false" outlineLevel="0" collapsed="false">
      <c r="A389" s="10" t="s">
        <v>1702</v>
      </c>
      <c r="B389" s="10" t="s">
        <v>44</v>
      </c>
      <c r="C389" s="10" t="s">
        <v>45</v>
      </c>
      <c r="D389" s="10"/>
      <c r="E389" s="10"/>
      <c r="F389" s="10" t="s">
        <v>52</v>
      </c>
      <c r="G389" s="11" t="s">
        <v>1703</v>
      </c>
      <c r="H389" s="10" t="n">
        <v>2022</v>
      </c>
      <c r="I389" s="10" t="s">
        <v>1704</v>
      </c>
      <c r="J389" s="11" t="s">
        <v>1705</v>
      </c>
      <c r="K389" s="10" t="s">
        <v>49</v>
      </c>
      <c r="L389" s="10" t="s">
        <v>1706</v>
      </c>
    </row>
    <row r="390" customFormat="false" ht="15" hidden="false" customHeight="false" outlineLevel="0" collapsed="false">
      <c r="A390" s="10" t="s">
        <v>1707</v>
      </c>
      <c r="B390" s="10" t="s">
        <v>44</v>
      </c>
      <c r="C390" s="10" t="s">
        <v>45</v>
      </c>
      <c r="D390" s="10"/>
      <c r="E390" s="10"/>
      <c r="F390" s="10" t="s">
        <v>44</v>
      </c>
      <c r="G390" s="11" t="s">
        <v>1708</v>
      </c>
      <c r="H390" s="10" t="n">
        <v>2025</v>
      </c>
      <c r="I390" s="10" t="s">
        <v>1709</v>
      </c>
      <c r="J390" s="11" t="s">
        <v>66</v>
      </c>
      <c r="K390" s="10" t="s">
        <v>49</v>
      </c>
      <c r="L390" s="10"/>
    </row>
    <row r="391" customFormat="false" ht="15" hidden="false" customHeight="false" outlineLevel="0" collapsed="false">
      <c r="A391" s="10" t="s">
        <v>1710</v>
      </c>
      <c r="B391" s="10" t="s">
        <v>44</v>
      </c>
      <c r="C391" s="10" t="s">
        <v>45</v>
      </c>
      <c r="D391" s="10"/>
      <c r="E391" s="10"/>
      <c r="F391" s="10" t="s">
        <v>44</v>
      </c>
      <c r="G391" s="11" t="s">
        <v>1711</v>
      </c>
      <c r="H391" s="10" t="n">
        <v>2025</v>
      </c>
      <c r="I391" s="10" t="s">
        <v>1712</v>
      </c>
      <c r="J391" s="11" t="s">
        <v>1713</v>
      </c>
      <c r="K391" s="10" t="s">
        <v>61</v>
      </c>
      <c r="L391" s="10" t="s">
        <v>1714</v>
      </c>
    </row>
    <row r="392" customFormat="false" ht="23.85" hidden="false" customHeight="false" outlineLevel="0" collapsed="false">
      <c r="A392" s="10" t="s">
        <v>1715</v>
      </c>
      <c r="B392" s="10" t="s">
        <v>44</v>
      </c>
      <c r="C392" s="10" t="s">
        <v>45</v>
      </c>
      <c r="D392" s="10"/>
      <c r="E392" s="10"/>
      <c r="F392" s="10" t="s">
        <v>44</v>
      </c>
      <c r="G392" s="11" t="s">
        <v>1716</v>
      </c>
      <c r="H392" s="10" t="n">
        <v>2024</v>
      </c>
      <c r="I392" s="10" t="s">
        <v>1717</v>
      </c>
      <c r="J392" s="11" t="s">
        <v>460</v>
      </c>
      <c r="K392" s="10" t="s">
        <v>49</v>
      </c>
      <c r="L392" s="10" t="s">
        <v>1718</v>
      </c>
    </row>
    <row r="393" customFormat="false" ht="23.85" hidden="false" customHeight="false" outlineLevel="0" collapsed="false">
      <c r="A393" s="10" t="s">
        <v>1719</v>
      </c>
      <c r="B393" s="10" t="s">
        <v>44</v>
      </c>
      <c r="C393" s="10" t="s">
        <v>45</v>
      </c>
      <c r="D393" s="10"/>
      <c r="E393" s="10"/>
      <c r="F393" s="10" t="s">
        <v>44</v>
      </c>
      <c r="G393" s="11" t="s">
        <v>1720</v>
      </c>
      <c r="H393" s="10" t="n">
        <v>2026</v>
      </c>
      <c r="I393" s="10" t="s">
        <v>1721</v>
      </c>
      <c r="J393" s="11" t="s">
        <v>1722</v>
      </c>
      <c r="K393" s="10" t="s">
        <v>49</v>
      </c>
      <c r="L393" s="10" t="s">
        <v>1723</v>
      </c>
    </row>
    <row r="394" customFormat="false" ht="23.85" hidden="false" customHeight="false" outlineLevel="0" collapsed="false">
      <c r="A394" s="10" t="s">
        <v>1724</v>
      </c>
      <c r="B394" s="10" t="s">
        <v>44</v>
      </c>
      <c r="C394" s="10" t="s">
        <v>45</v>
      </c>
      <c r="D394" s="10"/>
      <c r="E394" s="10"/>
      <c r="F394" s="10" t="s">
        <v>44</v>
      </c>
      <c r="G394" s="11" t="s">
        <v>1725</v>
      </c>
      <c r="H394" s="10" t="n">
        <v>2018</v>
      </c>
      <c r="I394" s="10" t="s">
        <v>1726</v>
      </c>
      <c r="J394" s="11" t="s">
        <v>1727</v>
      </c>
      <c r="K394" s="10" t="s">
        <v>61</v>
      </c>
      <c r="L394" s="10" t="s">
        <v>1728</v>
      </c>
    </row>
    <row r="395" customFormat="false" ht="23.85" hidden="false" customHeight="false" outlineLevel="0" collapsed="false">
      <c r="A395" s="10" t="s">
        <v>1729</v>
      </c>
      <c r="B395" s="10" t="s">
        <v>44</v>
      </c>
      <c r="C395" s="10" t="s">
        <v>45</v>
      </c>
      <c r="D395" s="10"/>
      <c r="E395" s="10"/>
      <c r="F395" s="10" t="s">
        <v>52</v>
      </c>
      <c r="G395" s="11" t="s">
        <v>1730</v>
      </c>
      <c r="H395" s="10" t="n">
        <v>2020</v>
      </c>
      <c r="I395" s="10" t="s">
        <v>1731</v>
      </c>
      <c r="J395" s="11" t="s">
        <v>1355</v>
      </c>
      <c r="K395" s="10" t="s">
        <v>49</v>
      </c>
      <c r="L395" s="10" t="s">
        <v>1732</v>
      </c>
    </row>
    <row r="396" customFormat="false" ht="35.05" hidden="false" customHeight="false" outlineLevel="0" collapsed="false">
      <c r="A396" s="10" t="s">
        <v>1733</v>
      </c>
      <c r="B396" s="10" t="s">
        <v>44</v>
      </c>
      <c r="C396" s="10" t="s">
        <v>45</v>
      </c>
      <c r="D396" s="10"/>
      <c r="E396" s="10"/>
      <c r="F396" s="10" t="s">
        <v>52</v>
      </c>
      <c r="G396" s="11" t="s">
        <v>1734</v>
      </c>
      <c r="H396" s="10" t="n">
        <v>2025</v>
      </c>
      <c r="I396" s="10" t="s">
        <v>1735</v>
      </c>
      <c r="J396" s="11" t="s">
        <v>1736</v>
      </c>
      <c r="K396" s="10" t="s">
        <v>49</v>
      </c>
      <c r="L396" s="10" t="s">
        <v>1737</v>
      </c>
    </row>
    <row r="397" customFormat="false" ht="23.85" hidden="false" customHeight="false" outlineLevel="0" collapsed="false">
      <c r="A397" s="10" t="s">
        <v>1738</v>
      </c>
      <c r="B397" s="10" t="s">
        <v>44</v>
      </c>
      <c r="C397" s="10" t="s">
        <v>45</v>
      </c>
      <c r="D397" s="10"/>
      <c r="E397" s="10"/>
      <c r="F397" s="10" t="s">
        <v>44</v>
      </c>
      <c r="G397" s="11" t="s">
        <v>1739</v>
      </c>
      <c r="H397" s="10" t="n">
        <v>2021</v>
      </c>
      <c r="I397" s="10" t="s">
        <v>1740</v>
      </c>
      <c r="J397" s="11" t="s">
        <v>70</v>
      </c>
      <c r="K397" s="10" t="s">
        <v>49</v>
      </c>
      <c r="L397" s="10"/>
    </row>
    <row r="398" customFormat="false" ht="23.85" hidden="false" customHeight="false" outlineLevel="0" collapsed="false">
      <c r="A398" s="10" t="s">
        <v>1741</v>
      </c>
      <c r="B398" s="10" t="s">
        <v>44</v>
      </c>
      <c r="C398" s="10" t="s">
        <v>45</v>
      </c>
      <c r="D398" s="10"/>
      <c r="E398" s="10"/>
      <c r="F398" s="10" t="s">
        <v>44</v>
      </c>
      <c r="G398" s="11" t="s">
        <v>1742</v>
      </c>
      <c r="H398" s="10" t="n">
        <v>2026</v>
      </c>
      <c r="I398" s="10" t="s">
        <v>1743</v>
      </c>
      <c r="J398" s="11" t="s">
        <v>418</v>
      </c>
      <c r="K398" s="10" t="s">
        <v>49</v>
      </c>
      <c r="L398" s="10" t="s">
        <v>1744</v>
      </c>
    </row>
    <row r="399" customFormat="false" ht="15" hidden="false" customHeight="false" outlineLevel="0" collapsed="false">
      <c r="A399" s="10" t="s">
        <v>1745</v>
      </c>
      <c r="B399" s="10" t="s">
        <v>44</v>
      </c>
      <c r="C399" s="10" t="s">
        <v>45</v>
      </c>
      <c r="D399" s="10"/>
      <c r="E399" s="10"/>
      <c r="F399" s="10" t="s">
        <v>44</v>
      </c>
      <c r="G399" s="11" t="s">
        <v>1746</v>
      </c>
      <c r="H399" s="10" t="n">
        <v>2021</v>
      </c>
      <c r="I399" s="10" t="s">
        <v>1747</v>
      </c>
      <c r="J399" s="11" t="s">
        <v>1748</v>
      </c>
      <c r="K399" s="10" t="s">
        <v>61</v>
      </c>
      <c r="L399" s="10" t="s">
        <v>1749</v>
      </c>
    </row>
    <row r="400" customFormat="false" ht="35.05" hidden="false" customHeight="false" outlineLevel="0" collapsed="false">
      <c r="A400" s="10" t="s">
        <v>1750</v>
      </c>
      <c r="B400" s="10" t="s">
        <v>44</v>
      </c>
      <c r="C400" s="10" t="s">
        <v>45</v>
      </c>
      <c r="D400" s="10"/>
      <c r="E400" s="10"/>
      <c r="F400" s="10" t="s">
        <v>44</v>
      </c>
      <c r="G400" s="11" t="s">
        <v>1751</v>
      </c>
      <c r="H400" s="10" t="n">
        <v>2021</v>
      </c>
      <c r="I400" s="10" t="s">
        <v>1752</v>
      </c>
      <c r="J400" s="11" t="s">
        <v>1753</v>
      </c>
      <c r="K400" s="10" t="s">
        <v>49</v>
      </c>
      <c r="L400" s="10" t="s">
        <v>1754</v>
      </c>
    </row>
    <row r="401" customFormat="false" ht="23.85" hidden="false" customHeight="false" outlineLevel="0" collapsed="false">
      <c r="A401" s="10" t="s">
        <v>1755</v>
      </c>
      <c r="B401" s="10" t="s">
        <v>44</v>
      </c>
      <c r="C401" s="10" t="s">
        <v>45</v>
      </c>
      <c r="D401" s="10"/>
      <c r="E401" s="10"/>
      <c r="F401" s="10" t="s">
        <v>44</v>
      </c>
      <c r="G401" s="11" t="s">
        <v>1756</v>
      </c>
      <c r="H401" s="10" t="n">
        <v>2025</v>
      </c>
      <c r="I401" s="10" t="s">
        <v>1757</v>
      </c>
      <c r="J401" s="11" t="s">
        <v>70</v>
      </c>
      <c r="K401" s="10" t="s">
        <v>49</v>
      </c>
      <c r="L401" s="10"/>
    </row>
    <row r="402" customFormat="false" ht="35.05" hidden="false" customHeight="false" outlineLevel="0" collapsed="false">
      <c r="A402" s="10" t="s">
        <v>1758</v>
      </c>
      <c r="B402" s="10" t="s">
        <v>44</v>
      </c>
      <c r="C402" s="10" t="s">
        <v>45</v>
      </c>
      <c r="D402" s="10"/>
      <c r="E402" s="10"/>
      <c r="F402" s="10" t="s">
        <v>44</v>
      </c>
      <c r="G402" s="11" t="s">
        <v>1759</v>
      </c>
      <c r="H402" s="10" t="n">
        <v>2019</v>
      </c>
      <c r="I402" s="10" t="s">
        <v>1760</v>
      </c>
      <c r="J402" s="11" t="s">
        <v>1761</v>
      </c>
      <c r="K402" s="10" t="s">
        <v>49</v>
      </c>
      <c r="L402" s="10" t="s">
        <v>1762</v>
      </c>
    </row>
    <row r="403" customFormat="false" ht="23.85" hidden="false" customHeight="false" outlineLevel="0" collapsed="false">
      <c r="A403" s="10" t="s">
        <v>1763</v>
      </c>
      <c r="B403" s="10" t="s">
        <v>44</v>
      </c>
      <c r="C403" s="10" t="s">
        <v>45</v>
      </c>
      <c r="D403" s="10"/>
      <c r="E403" s="10"/>
      <c r="F403" s="10" t="s">
        <v>44</v>
      </c>
      <c r="G403" s="11" t="s">
        <v>1764</v>
      </c>
      <c r="H403" s="10" t="n">
        <v>2023</v>
      </c>
      <c r="I403" s="10" t="s">
        <v>1765</v>
      </c>
      <c r="J403" s="11" t="s">
        <v>1766</v>
      </c>
      <c r="K403" s="10" t="s">
        <v>61</v>
      </c>
      <c r="L403" s="10" t="s">
        <v>1767</v>
      </c>
    </row>
    <row r="404" customFormat="false" ht="23.85" hidden="false" customHeight="false" outlineLevel="0" collapsed="false">
      <c r="A404" s="10" t="s">
        <v>1768</v>
      </c>
      <c r="B404" s="10" t="s">
        <v>44</v>
      </c>
      <c r="C404" s="10" t="s">
        <v>45</v>
      </c>
      <c r="D404" s="10"/>
      <c r="E404" s="10"/>
      <c r="F404" s="10" t="s">
        <v>44</v>
      </c>
      <c r="G404" s="11" t="s">
        <v>1769</v>
      </c>
      <c r="H404" s="10" t="n">
        <v>2026</v>
      </c>
      <c r="I404" s="10" t="s">
        <v>906</v>
      </c>
      <c r="J404" s="11" t="s">
        <v>418</v>
      </c>
      <c r="K404" s="10" t="s">
        <v>49</v>
      </c>
      <c r="L404" s="10" t="s">
        <v>1770</v>
      </c>
    </row>
    <row r="405" customFormat="false" ht="23.85" hidden="false" customHeight="false" outlineLevel="0" collapsed="false">
      <c r="A405" s="10" t="s">
        <v>1771</v>
      </c>
      <c r="B405" s="10" t="s">
        <v>44</v>
      </c>
      <c r="C405" s="10" t="s">
        <v>45</v>
      </c>
      <c r="D405" s="10"/>
      <c r="E405" s="10"/>
      <c r="F405" s="10" t="s">
        <v>170</v>
      </c>
      <c r="G405" s="11" t="s">
        <v>1772</v>
      </c>
      <c r="H405" s="10" t="n">
        <v>2024</v>
      </c>
      <c r="I405" s="10" t="s">
        <v>1773</v>
      </c>
      <c r="J405" s="11" t="s">
        <v>1774</v>
      </c>
      <c r="K405" s="10" t="s">
        <v>49</v>
      </c>
      <c r="L405" s="10" t="s">
        <v>1775</v>
      </c>
    </row>
    <row r="406" customFormat="false" ht="23.85" hidden="false" customHeight="false" outlineLevel="0" collapsed="false">
      <c r="A406" s="10" t="s">
        <v>1776</v>
      </c>
      <c r="B406" s="10" t="s">
        <v>44</v>
      </c>
      <c r="C406" s="10" t="s">
        <v>45</v>
      </c>
      <c r="D406" s="10"/>
      <c r="E406" s="10"/>
      <c r="F406" s="10" t="s">
        <v>44</v>
      </c>
      <c r="G406" s="11" t="s">
        <v>1777</v>
      </c>
      <c r="H406" s="10" t="n">
        <v>2026</v>
      </c>
      <c r="I406" s="10" t="s">
        <v>1476</v>
      </c>
      <c r="J406" s="11" t="s">
        <v>418</v>
      </c>
      <c r="K406" s="10" t="s">
        <v>49</v>
      </c>
      <c r="L406" s="10" t="s">
        <v>1778</v>
      </c>
    </row>
    <row r="407" customFormat="false" ht="23.85" hidden="false" customHeight="false" outlineLevel="0" collapsed="false">
      <c r="A407" s="10" t="s">
        <v>1779</v>
      </c>
      <c r="B407" s="10" t="s">
        <v>44</v>
      </c>
      <c r="C407" s="10" t="s">
        <v>45</v>
      </c>
      <c r="D407" s="10"/>
      <c r="E407" s="10"/>
      <c r="F407" s="10" t="s">
        <v>44</v>
      </c>
      <c r="G407" s="11" t="s">
        <v>1780</v>
      </c>
      <c r="H407" s="10" t="n">
        <v>2025</v>
      </c>
      <c r="I407" s="10" t="s">
        <v>1781</v>
      </c>
      <c r="J407" s="11" t="s">
        <v>418</v>
      </c>
      <c r="K407" s="10" t="s">
        <v>49</v>
      </c>
      <c r="L407" s="10" t="s">
        <v>1782</v>
      </c>
    </row>
    <row r="408" customFormat="false" ht="35.05" hidden="false" customHeight="false" outlineLevel="0" collapsed="false">
      <c r="A408" s="10" t="s">
        <v>1783</v>
      </c>
      <c r="B408" s="10" t="s">
        <v>44</v>
      </c>
      <c r="C408" s="10" t="s">
        <v>45</v>
      </c>
      <c r="D408" s="10"/>
      <c r="E408" s="10"/>
      <c r="F408" s="10" t="s">
        <v>170</v>
      </c>
      <c r="G408" s="11" t="s">
        <v>1784</v>
      </c>
      <c r="H408" s="10" t="n">
        <v>2025</v>
      </c>
      <c r="I408" s="10" t="s">
        <v>1785</v>
      </c>
      <c r="J408" s="11" t="s">
        <v>410</v>
      </c>
      <c r="K408" s="10" t="s">
        <v>49</v>
      </c>
      <c r="L408" s="10"/>
    </row>
    <row r="409" customFormat="false" ht="23.85" hidden="false" customHeight="false" outlineLevel="0" collapsed="false">
      <c r="A409" s="10" t="s">
        <v>1786</v>
      </c>
      <c r="B409" s="10" t="s">
        <v>44</v>
      </c>
      <c r="C409" s="10" t="s">
        <v>45</v>
      </c>
      <c r="D409" s="10"/>
      <c r="E409" s="10"/>
      <c r="F409" s="10" t="s">
        <v>44</v>
      </c>
      <c r="G409" s="11" t="s">
        <v>1787</v>
      </c>
      <c r="H409" s="10" t="n">
        <v>2026</v>
      </c>
      <c r="I409" s="10" t="s">
        <v>1788</v>
      </c>
      <c r="J409" s="11" t="s">
        <v>1789</v>
      </c>
      <c r="K409" s="10" t="s">
        <v>61</v>
      </c>
      <c r="L409" s="10" t="s">
        <v>1790</v>
      </c>
    </row>
    <row r="410" customFormat="false" ht="15" hidden="false" customHeight="false" outlineLevel="0" collapsed="false">
      <c r="A410" s="10" t="s">
        <v>1791</v>
      </c>
      <c r="B410" s="10" t="s">
        <v>44</v>
      </c>
      <c r="C410" s="10" t="s">
        <v>45</v>
      </c>
      <c r="D410" s="10"/>
      <c r="E410" s="10"/>
      <c r="F410" s="10" t="s">
        <v>52</v>
      </c>
      <c r="G410" s="11" t="s">
        <v>1792</v>
      </c>
      <c r="H410" s="10" t="n">
        <v>2025</v>
      </c>
      <c r="I410" s="10" t="s">
        <v>1793</v>
      </c>
      <c r="J410" s="11" t="s">
        <v>349</v>
      </c>
      <c r="K410" s="10" t="s">
        <v>61</v>
      </c>
      <c r="L410" s="10" t="s">
        <v>1794</v>
      </c>
    </row>
    <row r="411" customFormat="false" ht="23.85" hidden="false" customHeight="false" outlineLevel="0" collapsed="false">
      <c r="A411" s="10" t="s">
        <v>1795</v>
      </c>
      <c r="B411" s="10" t="s">
        <v>44</v>
      </c>
      <c r="C411" s="10" t="s">
        <v>45</v>
      </c>
      <c r="D411" s="10"/>
      <c r="E411" s="10"/>
      <c r="F411" s="10" t="s">
        <v>44</v>
      </c>
      <c r="G411" s="11" t="s">
        <v>1796</v>
      </c>
      <c r="H411" s="10" t="n">
        <v>2022</v>
      </c>
      <c r="I411" s="10" t="s">
        <v>1765</v>
      </c>
      <c r="J411" s="11" t="s">
        <v>70</v>
      </c>
      <c r="K411" s="10" t="s">
        <v>49</v>
      </c>
      <c r="L411" s="10"/>
    </row>
    <row r="412" customFormat="false" ht="23.85" hidden="false" customHeight="false" outlineLevel="0" collapsed="false">
      <c r="A412" s="10" t="s">
        <v>1797</v>
      </c>
      <c r="B412" s="10" t="s">
        <v>44</v>
      </c>
      <c r="C412" s="10" t="s">
        <v>45</v>
      </c>
      <c r="D412" s="10"/>
      <c r="E412" s="10"/>
      <c r="F412" s="10" t="s">
        <v>52</v>
      </c>
      <c r="G412" s="11" t="s">
        <v>1798</v>
      </c>
      <c r="H412" s="10" t="n">
        <v>2025</v>
      </c>
      <c r="I412" s="10" t="s">
        <v>1799</v>
      </c>
      <c r="J412" s="11" t="s">
        <v>1800</v>
      </c>
      <c r="K412" s="10" t="s">
        <v>49</v>
      </c>
      <c r="L412" s="10" t="s">
        <v>1801</v>
      </c>
    </row>
    <row r="413" customFormat="false" ht="15" hidden="false" customHeight="false" outlineLevel="0" collapsed="false">
      <c r="A413" s="10" t="s">
        <v>1802</v>
      </c>
      <c r="B413" s="10" t="s">
        <v>44</v>
      </c>
      <c r="C413" s="10" t="s">
        <v>45</v>
      </c>
      <c r="D413" s="10"/>
      <c r="E413" s="10"/>
      <c r="F413" s="10" t="s">
        <v>44</v>
      </c>
      <c r="G413" s="11" t="s">
        <v>1803</v>
      </c>
      <c r="H413" s="10" t="n">
        <v>2023</v>
      </c>
      <c r="I413" s="10" t="s">
        <v>1804</v>
      </c>
      <c r="J413" s="11" t="s">
        <v>66</v>
      </c>
      <c r="K413" s="10" t="s">
        <v>49</v>
      </c>
      <c r="L413" s="10"/>
    </row>
    <row r="414" customFormat="false" ht="23.85" hidden="false" customHeight="false" outlineLevel="0" collapsed="false">
      <c r="A414" s="10" t="s">
        <v>1805</v>
      </c>
      <c r="B414" s="10" t="s">
        <v>44</v>
      </c>
      <c r="C414" s="10" t="s">
        <v>45</v>
      </c>
      <c r="D414" s="10"/>
      <c r="E414" s="10"/>
      <c r="F414" s="10" t="s">
        <v>44</v>
      </c>
      <c r="G414" s="11" t="s">
        <v>1806</v>
      </c>
      <c r="H414" s="10" t="n">
        <v>2024</v>
      </c>
      <c r="I414" s="10" t="s">
        <v>726</v>
      </c>
      <c r="J414" s="11" t="s">
        <v>1807</v>
      </c>
      <c r="K414" s="10" t="s">
        <v>49</v>
      </c>
      <c r="L414" s="10"/>
    </row>
    <row r="415" customFormat="false" ht="35.05" hidden="false" customHeight="false" outlineLevel="0" collapsed="false">
      <c r="A415" s="10" t="s">
        <v>1808</v>
      </c>
      <c r="B415" s="10" t="s">
        <v>44</v>
      </c>
      <c r="C415" s="10" t="s">
        <v>45</v>
      </c>
      <c r="D415" s="10"/>
      <c r="E415" s="10"/>
      <c r="F415" s="10" t="s">
        <v>52</v>
      </c>
      <c r="G415" s="11" t="s">
        <v>1809</v>
      </c>
      <c r="H415" s="10" t="n">
        <v>2026</v>
      </c>
      <c r="I415" s="10" t="s">
        <v>1810</v>
      </c>
      <c r="J415" s="11" t="s">
        <v>1811</v>
      </c>
      <c r="K415" s="10" t="s">
        <v>49</v>
      </c>
      <c r="L415" s="10" t="s">
        <v>1812</v>
      </c>
    </row>
    <row r="416" customFormat="false" ht="23.85" hidden="false" customHeight="false" outlineLevel="0" collapsed="false">
      <c r="A416" s="10" t="s">
        <v>1813</v>
      </c>
      <c r="B416" s="10" t="s">
        <v>44</v>
      </c>
      <c r="C416" s="10" t="s">
        <v>45</v>
      </c>
      <c r="D416" s="10"/>
      <c r="E416" s="10"/>
      <c r="F416" s="10" t="s">
        <v>44</v>
      </c>
      <c r="G416" s="11" t="s">
        <v>1814</v>
      </c>
      <c r="H416" s="10" t="n">
        <v>2022</v>
      </c>
      <c r="I416" s="10" t="s">
        <v>1815</v>
      </c>
      <c r="J416" s="11" t="s">
        <v>1816</v>
      </c>
      <c r="K416" s="10" t="s">
        <v>61</v>
      </c>
      <c r="L416" s="10" t="s">
        <v>1817</v>
      </c>
    </row>
    <row r="417" customFormat="false" ht="23.85" hidden="false" customHeight="false" outlineLevel="0" collapsed="false">
      <c r="A417" s="10" t="s">
        <v>1818</v>
      </c>
      <c r="B417" s="10" t="s">
        <v>44</v>
      </c>
      <c r="C417" s="10" t="s">
        <v>45</v>
      </c>
      <c r="D417" s="10"/>
      <c r="E417" s="10"/>
      <c r="F417" s="10" t="s">
        <v>44</v>
      </c>
      <c r="G417" s="11" t="s">
        <v>1819</v>
      </c>
      <c r="H417" s="10" t="n">
        <v>2022</v>
      </c>
      <c r="I417" s="10" t="s">
        <v>1820</v>
      </c>
      <c r="J417" s="11" t="s">
        <v>1821</v>
      </c>
      <c r="K417" s="10" t="s">
        <v>49</v>
      </c>
      <c r="L417" s="10" t="s">
        <v>1822</v>
      </c>
    </row>
    <row r="418" customFormat="false" ht="23.85" hidden="false" customHeight="false" outlineLevel="0" collapsed="false">
      <c r="A418" s="10" t="s">
        <v>1823</v>
      </c>
      <c r="B418" s="10" t="s">
        <v>44</v>
      </c>
      <c r="C418" s="10" t="s">
        <v>45</v>
      </c>
      <c r="D418" s="10"/>
      <c r="E418" s="10"/>
      <c r="F418" s="10" t="s">
        <v>44</v>
      </c>
      <c r="G418" s="11" t="s">
        <v>1824</v>
      </c>
      <c r="H418" s="10" t="n">
        <v>2023</v>
      </c>
      <c r="I418" s="10" t="s">
        <v>1825</v>
      </c>
      <c r="J418" s="11" t="s">
        <v>1826</v>
      </c>
      <c r="K418" s="10" t="s">
        <v>61</v>
      </c>
      <c r="L418" s="10" t="s">
        <v>1827</v>
      </c>
    </row>
    <row r="419" customFormat="false" ht="68.65" hidden="false" customHeight="false" outlineLevel="0" collapsed="false">
      <c r="A419" s="10" t="s">
        <v>1828</v>
      </c>
      <c r="B419" s="10" t="s">
        <v>44</v>
      </c>
      <c r="C419" s="10" t="s">
        <v>45</v>
      </c>
      <c r="D419" s="10"/>
      <c r="E419" s="10"/>
      <c r="F419" s="10" t="s">
        <v>44</v>
      </c>
      <c r="G419" s="11" t="s">
        <v>1829</v>
      </c>
      <c r="H419" s="10" t="n">
        <v>2022</v>
      </c>
      <c r="I419" s="10" t="s">
        <v>1830</v>
      </c>
      <c r="J419" s="11" t="s">
        <v>1831</v>
      </c>
      <c r="K419" s="10" t="s">
        <v>49</v>
      </c>
      <c r="L419" s="10" t="s">
        <v>1832</v>
      </c>
    </row>
    <row r="420" customFormat="false" ht="15" hidden="false" customHeight="false" outlineLevel="0" collapsed="false">
      <c r="A420" s="10" t="s">
        <v>1833</v>
      </c>
      <c r="B420" s="10" t="s">
        <v>44</v>
      </c>
      <c r="C420" s="10" t="s">
        <v>45</v>
      </c>
      <c r="D420" s="10"/>
      <c r="E420" s="10"/>
      <c r="F420" s="10" t="s">
        <v>44</v>
      </c>
      <c r="G420" s="11" t="s">
        <v>1834</v>
      </c>
      <c r="H420" s="10" t="n">
        <v>2020</v>
      </c>
      <c r="I420" s="10" t="s">
        <v>1835</v>
      </c>
      <c r="J420" s="11" t="s">
        <v>445</v>
      </c>
      <c r="K420" s="10" t="s">
        <v>61</v>
      </c>
      <c r="L420" s="10" t="s">
        <v>1836</v>
      </c>
    </row>
    <row r="421" customFormat="false" ht="23.85" hidden="false" customHeight="false" outlineLevel="0" collapsed="false">
      <c r="A421" s="10" t="s">
        <v>1837</v>
      </c>
      <c r="B421" s="10" t="s">
        <v>44</v>
      </c>
      <c r="C421" s="10" t="s">
        <v>45</v>
      </c>
      <c r="D421" s="10"/>
      <c r="E421" s="10"/>
      <c r="F421" s="10" t="s">
        <v>52</v>
      </c>
      <c r="G421" s="11" t="s">
        <v>1838</v>
      </c>
      <c r="H421" s="10" t="n">
        <v>2026</v>
      </c>
      <c r="I421" s="10" t="s">
        <v>1839</v>
      </c>
      <c r="J421" s="11" t="s">
        <v>1840</v>
      </c>
      <c r="K421" s="10" t="s">
        <v>49</v>
      </c>
      <c r="L421" s="10" t="s">
        <v>1841</v>
      </c>
    </row>
    <row r="422" customFormat="false" ht="23.85" hidden="false" customHeight="false" outlineLevel="0" collapsed="false">
      <c r="A422" s="10" t="s">
        <v>1842</v>
      </c>
      <c r="B422" s="10" t="s">
        <v>44</v>
      </c>
      <c r="C422" s="10" t="s">
        <v>45</v>
      </c>
      <c r="D422" s="10"/>
      <c r="E422" s="10"/>
      <c r="F422" s="10" t="s">
        <v>44</v>
      </c>
      <c r="G422" s="11" t="s">
        <v>1843</v>
      </c>
      <c r="H422" s="10" t="n">
        <v>2026</v>
      </c>
      <c r="I422" s="10" t="s">
        <v>1844</v>
      </c>
      <c r="J422" s="11" t="s">
        <v>1722</v>
      </c>
      <c r="K422" s="10" t="s">
        <v>49</v>
      </c>
      <c r="L422" s="10" t="s">
        <v>1845</v>
      </c>
    </row>
    <row r="423" customFormat="false" ht="35.05" hidden="false" customHeight="false" outlineLevel="0" collapsed="false">
      <c r="A423" s="10" t="s">
        <v>1846</v>
      </c>
      <c r="B423" s="10" t="s">
        <v>44</v>
      </c>
      <c r="C423" s="10" t="s">
        <v>45</v>
      </c>
      <c r="D423" s="10"/>
      <c r="E423" s="10"/>
      <c r="F423" s="10" t="s">
        <v>44</v>
      </c>
      <c r="G423" s="11" t="s">
        <v>1847</v>
      </c>
      <c r="H423" s="10" t="n">
        <v>2020</v>
      </c>
      <c r="I423" s="10" t="s">
        <v>1848</v>
      </c>
      <c r="J423" s="11" t="s">
        <v>1849</v>
      </c>
      <c r="K423" s="10" t="s">
        <v>49</v>
      </c>
      <c r="L423" s="10" t="s">
        <v>1850</v>
      </c>
    </row>
    <row r="424" customFormat="false" ht="35.05" hidden="false" customHeight="false" outlineLevel="0" collapsed="false">
      <c r="A424" s="10" t="s">
        <v>1851</v>
      </c>
      <c r="B424" s="10" t="s">
        <v>44</v>
      </c>
      <c r="C424" s="10" t="s">
        <v>45</v>
      </c>
      <c r="D424" s="10"/>
      <c r="E424" s="10"/>
      <c r="F424" s="10" t="s">
        <v>44</v>
      </c>
      <c r="G424" s="11" t="s">
        <v>1852</v>
      </c>
      <c r="H424" s="10" t="n">
        <v>2025</v>
      </c>
      <c r="I424" s="10" t="s">
        <v>1853</v>
      </c>
      <c r="J424" s="11" t="s">
        <v>1854</v>
      </c>
      <c r="K424" s="10" t="s">
        <v>49</v>
      </c>
      <c r="L424" s="10" t="s">
        <v>1855</v>
      </c>
    </row>
    <row r="425" customFormat="false" ht="23.85" hidden="false" customHeight="false" outlineLevel="0" collapsed="false">
      <c r="A425" s="10" t="s">
        <v>1856</v>
      </c>
      <c r="B425" s="10" t="s">
        <v>44</v>
      </c>
      <c r="C425" s="10" t="s">
        <v>45</v>
      </c>
      <c r="D425" s="10"/>
      <c r="E425" s="10"/>
      <c r="F425" s="10" t="s">
        <v>44</v>
      </c>
      <c r="G425" s="11" t="s">
        <v>1857</v>
      </c>
      <c r="H425" s="10" t="n">
        <v>2026</v>
      </c>
      <c r="I425" s="10" t="s">
        <v>1858</v>
      </c>
      <c r="J425" s="11" t="s">
        <v>1859</v>
      </c>
      <c r="K425" s="10" t="s">
        <v>61</v>
      </c>
      <c r="L425" s="10" t="s">
        <v>1860</v>
      </c>
    </row>
    <row r="426" customFormat="false" ht="23.85" hidden="false" customHeight="false" outlineLevel="0" collapsed="false">
      <c r="A426" s="10" t="s">
        <v>1861</v>
      </c>
      <c r="B426" s="10" t="s">
        <v>44</v>
      </c>
      <c r="C426" s="10" t="s">
        <v>45</v>
      </c>
      <c r="D426" s="10"/>
      <c r="E426" s="10"/>
      <c r="F426" s="10" t="s">
        <v>44</v>
      </c>
      <c r="G426" s="11" t="s">
        <v>1862</v>
      </c>
      <c r="H426" s="10" t="n">
        <v>2025</v>
      </c>
      <c r="I426" s="10" t="s">
        <v>348</v>
      </c>
      <c r="J426" s="11" t="s">
        <v>331</v>
      </c>
      <c r="K426" s="10" t="s">
        <v>61</v>
      </c>
      <c r="L426" s="10" t="s">
        <v>1863</v>
      </c>
    </row>
    <row r="427" customFormat="false" ht="35.05" hidden="false" customHeight="false" outlineLevel="0" collapsed="false">
      <c r="A427" s="10" t="s">
        <v>1864</v>
      </c>
      <c r="B427" s="10" t="s">
        <v>44</v>
      </c>
      <c r="C427" s="10" t="s">
        <v>45</v>
      </c>
      <c r="D427" s="10"/>
      <c r="E427" s="10"/>
      <c r="F427" s="10" t="s">
        <v>44</v>
      </c>
      <c r="G427" s="11" t="s">
        <v>1865</v>
      </c>
      <c r="H427" s="10" t="n">
        <v>2025</v>
      </c>
      <c r="I427" s="10" t="s">
        <v>1866</v>
      </c>
      <c r="J427" s="11" t="s">
        <v>575</v>
      </c>
      <c r="K427" s="10" t="s">
        <v>49</v>
      </c>
      <c r="L427" s="10" t="s">
        <v>1867</v>
      </c>
    </row>
    <row r="428" customFormat="false" ht="15" hidden="false" customHeight="false" outlineLevel="0" collapsed="false">
      <c r="A428" s="10" t="s">
        <v>1868</v>
      </c>
      <c r="B428" s="10" t="s">
        <v>44</v>
      </c>
      <c r="C428" s="10" t="s">
        <v>45</v>
      </c>
      <c r="D428" s="10"/>
      <c r="E428" s="10"/>
      <c r="F428" s="10" t="s">
        <v>44</v>
      </c>
      <c r="G428" s="11" t="s">
        <v>1869</v>
      </c>
      <c r="H428" s="10" t="n">
        <v>2026</v>
      </c>
      <c r="I428" s="10" t="s">
        <v>1870</v>
      </c>
      <c r="J428" s="11" t="s">
        <v>321</v>
      </c>
      <c r="K428" s="10" t="s">
        <v>49</v>
      </c>
      <c r="L428" s="10" t="s">
        <v>1871</v>
      </c>
    </row>
    <row r="429" customFormat="false" ht="23.85" hidden="false" customHeight="false" outlineLevel="0" collapsed="false">
      <c r="A429" s="10" t="s">
        <v>1872</v>
      </c>
      <c r="B429" s="10" t="s">
        <v>44</v>
      </c>
      <c r="C429" s="10" t="s">
        <v>45</v>
      </c>
      <c r="D429" s="10"/>
      <c r="E429" s="10"/>
      <c r="F429" s="10" t="s">
        <v>44</v>
      </c>
      <c r="G429" s="11" t="s">
        <v>1873</v>
      </c>
      <c r="H429" s="10" t="n">
        <v>2019</v>
      </c>
      <c r="I429" s="10" t="s">
        <v>108</v>
      </c>
      <c r="J429" s="11" t="s">
        <v>460</v>
      </c>
      <c r="K429" s="10" t="s">
        <v>49</v>
      </c>
      <c r="L429" s="10" t="s">
        <v>1874</v>
      </c>
    </row>
    <row r="430" customFormat="false" ht="23.85" hidden="false" customHeight="false" outlineLevel="0" collapsed="false">
      <c r="A430" s="10" t="s">
        <v>1875</v>
      </c>
      <c r="B430" s="10" t="s">
        <v>44</v>
      </c>
      <c r="C430" s="10" t="s">
        <v>45</v>
      </c>
      <c r="D430" s="10"/>
      <c r="E430" s="10"/>
      <c r="F430" s="10" t="s">
        <v>44</v>
      </c>
      <c r="G430" s="11" t="s">
        <v>1876</v>
      </c>
      <c r="H430" s="10" t="n">
        <v>2025</v>
      </c>
      <c r="I430" s="10" t="s">
        <v>1877</v>
      </c>
      <c r="J430" s="11" t="s">
        <v>1878</v>
      </c>
      <c r="K430" s="10" t="s">
        <v>61</v>
      </c>
      <c r="L430" s="10" t="s">
        <v>1879</v>
      </c>
    </row>
    <row r="431" customFormat="false" ht="23.85" hidden="false" customHeight="false" outlineLevel="0" collapsed="false">
      <c r="A431" s="10" t="s">
        <v>1880</v>
      </c>
      <c r="B431" s="10" t="s">
        <v>44</v>
      </c>
      <c r="C431" s="10" t="s">
        <v>45</v>
      </c>
      <c r="D431" s="10"/>
      <c r="E431" s="10"/>
      <c r="F431" s="10" t="s">
        <v>44</v>
      </c>
      <c r="G431" s="11" t="s">
        <v>1881</v>
      </c>
      <c r="H431" s="10" t="n">
        <v>2024</v>
      </c>
      <c r="I431" s="10" t="s">
        <v>1882</v>
      </c>
      <c r="J431" s="11" t="s">
        <v>1883</v>
      </c>
      <c r="K431" s="10" t="s">
        <v>61</v>
      </c>
      <c r="L431" s="10" t="s">
        <v>1884</v>
      </c>
    </row>
    <row r="432" customFormat="false" ht="23.85" hidden="false" customHeight="false" outlineLevel="0" collapsed="false">
      <c r="A432" s="10" t="s">
        <v>1885</v>
      </c>
      <c r="B432" s="10" t="s">
        <v>44</v>
      </c>
      <c r="C432" s="10" t="s">
        <v>45</v>
      </c>
      <c r="D432" s="10"/>
      <c r="E432" s="10"/>
      <c r="F432" s="10" t="s">
        <v>44</v>
      </c>
      <c r="G432" s="11" t="s">
        <v>1886</v>
      </c>
      <c r="H432" s="10" t="n">
        <v>2025</v>
      </c>
      <c r="I432" s="10" t="s">
        <v>911</v>
      </c>
      <c r="J432" s="11" t="s">
        <v>70</v>
      </c>
      <c r="K432" s="10" t="s">
        <v>49</v>
      </c>
      <c r="L432" s="10"/>
    </row>
    <row r="433" customFormat="false" ht="15" hidden="false" customHeight="false" outlineLevel="0" collapsed="false">
      <c r="A433" s="10" t="s">
        <v>1887</v>
      </c>
      <c r="B433" s="10" t="s">
        <v>44</v>
      </c>
      <c r="C433" s="10" t="s">
        <v>45</v>
      </c>
      <c r="D433" s="10"/>
      <c r="E433" s="10"/>
      <c r="F433" s="10" t="s">
        <v>44</v>
      </c>
      <c r="G433" s="11" t="s">
        <v>1888</v>
      </c>
      <c r="H433" s="10" t="n">
        <v>2021</v>
      </c>
      <c r="I433" s="10" t="s">
        <v>1889</v>
      </c>
      <c r="J433" s="11" t="s">
        <v>1890</v>
      </c>
      <c r="K433" s="10" t="s">
        <v>49</v>
      </c>
      <c r="L433" s="10"/>
    </row>
    <row r="434" customFormat="false" ht="23.85" hidden="false" customHeight="false" outlineLevel="0" collapsed="false">
      <c r="A434" s="10" t="s">
        <v>1891</v>
      </c>
      <c r="B434" s="10" t="s">
        <v>44</v>
      </c>
      <c r="C434" s="10" t="s">
        <v>45</v>
      </c>
      <c r="D434" s="10"/>
      <c r="E434" s="10"/>
      <c r="F434" s="10" t="s">
        <v>44</v>
      </c>
      <c r="G434" s="11" t="s">
        <v>1892</v>
      </c>
      <c r="H434" s="10" t="n">
        <v>2021</v>
      </c>
      <c r="I434" s="10" t="s">
        <v>928</v>
      </c>
      <c r="J434" s="11" t="s">
        <v>70</v>
      </c>
      <c r="K434" s="10" t="s">
        <v>49</v>
      </c>
      <c r="L434" s="10"/>
    </row>
    <row r="435" customFormat="false" ht="23.85" hidden="false" customHeight="false" outlineLevel="0" collapsed="false">
      <c r="A435" s="10" t="s">
        <v>1893</v>
      </c>
      <c r="B435" s="10" t="s">
        <v>44</v>
      </c>
      <c r="C435" s="10" t="s">
        <v>45</v>
      </c>
      <c r="D435" s="10"/>
      <c r="E435" s="10"/>
      <c r="F435" s="10" t="s">
        <v>44</v>
      </c>
      <c r="G435" s="11" t="s">
        <v>1894</v>
      </c>
      <c r="H435" s="10" t="n">
        <v>2026</v>
      </c>
      <c r="I435" s="10" t="s">
        <v>1895</v>
      </c>
      <c r="J435" s="11" t="s">
        <v>1896</v>
      </c>
      <c r="K435" s="10" t="s">
        <v>61</v>
      </c>
      <c r="L435" s="10" t="s">
        <v>1897</v>
      </c>
    </row>
    <row r="436" customFormat="false" ht="35.05" hidden="false" customHeight="false" outlineLevel="0" collapsed="false">
      <c r="A436" s="10" t="s">
        <v>1898</v>
      </c>
      <c r="B436" s="10" t="s">
        <v>44</v>
      </c>
      <c r="C436" s="10" t="s">
        <v>45</v>
      </c>
      <c r="D436" s="10"/>
      <c r="E436" s="10"/>
      <c r="F436" s="10" t="s">
        <v>44</v>
      </c>
      <c r="G436" s="11" t="s">
        <v>1899</v>
      </c>
      <c r="H436" s="10" t="n">
        <v>2021</v>
      </c>
      <c r="I436" s="10" t="s">
        <v>1900</v>
      </c>
      <c r="J436" s="11" t="s">
        <v>48</v>
      </c>
      <c r="K436" s="10" t="s">
        <v>49</v>
      </c>
      <c r="L436" s="10" t="s">
        <v>1901</v>
      </c>
    </row>
    <row r="437" customFormat="false" ht="23.85" hidden="false" customHeight="false" outlineLevel="0" collapsed="false">
      <c r="A437" s="10" t="s">
        <v>1902</v>
      </c>
      <c r="B437" s="10" t="s">
        <v>44</v>
      </c>
      <c r="C437" s="10" t="s">
        <v>45</v>
      </c>
      <c r="D437" s="10"/>
      <c r="E437" s="10"/>
      <c r="F437" s="10" t="s">
        <v>44</v>
      </c>
      <c r="G437" s="11" t="s">
        <v>1903</v>
      </c>
      <c r="H437" s="10" t="n">
        <v>2023</v>
      </c>
      <c r="I437" s="10" t="s">
        <v>1904</v>
      </c>
      <c r="J437" s="11" t="s">
        <v>1905</v>
      </c>
      <c r="K437" s="10" t="s">
        <v>61</v>
      </c>
      <c r="L437" s="10" t="s">
        <v>1906</v>
      </c>
    </row>
    <row r="438" customFormat="false" ht="35.05" hidden="false" customHeight="false" outlineLevel="0" collapsed="false">
      <c r="A438" s="10" t="s">
        <v>1907</v>
      </c>
      <c r="B438" s="10" t="s">
        <v>44</v>
      </c>
      <c r="C438" s="10" t="s">
        <v>45</v>
      </c>
      <c r="D438" s="10"/>
      <c r="E438" s="10"/>
      <c r="F438" s="10" t="s">
        <v>44</v>
      </c>
      <c r="G438" s="11" t="s">
        <v>1908</v>
      </c>
      <c r="H438" s="10" t="n">
        <v>2019</v>
      </c>
      <c r="I438" s="10" t="s">
        <v>1909</v>
      </c>
      <c r="J438" s="11" t="s">
        <v>48</v>
      </c>
      <c r="K438" s="10" t="s">
        <v>49</v>
      </c>
      <c r="L438" s="10" t="s">
        <v>1910</v>
      </c>
    </row>
    <row r="439" customFormat="false" ht="15" hidden="false" customHeight="false" outlineLevel="0" collapsed="false">
      <c r="A439" s="10" t="s">
        <v>1911</v>
      </c>
      <c r="B439" s="10" t="s">
        <v>44</v>
      </c>
      <c r="C439" s="10" t="s">
        <v>45</v>
      </c>
      <c r="D439" s="10"/>
      <c r="E439" s="10"/>
      <c r="F439" s="10" t="s">
        <v>44</v>
      </c>
      <c r="G439" s="11" t="s">
        <v>1912</v>
      </c>
      <c r="H439" s="10" t="n">
        <v>2021</v>
      </c>
      <c r="I439" s="10" t="s">
        <v>1913</v>
      </c>
      <c r="J439" s="11" t="s">
        <v>66</v>
      </c>
      <c r="K439" s="10" t="s">
        <v>49</v>
      </c>
      <c r="L439" s="10"/>
    </row>
    <row r="440" customFormat="false" ht="23.85" hidden="false" customHeight="false" outlineLevel="0" collapsed="false">
      <c r="A440" s="10" t="s">
        <v>1914</v>
      </c>
      <c r="B440" s="10" t="s">
        <v>44</v>
      </c>
      <c r="C440" s="10" t="s">
        <v>45</v>
      </c>
      <c r="D440" s="10"/>
      <c r="E440" s="10"/>
      <c r="F440" s="10" t="s">
        <v>44</v>
      </c>
      <c r="G440" s="11" t="s">
        <v>1915</v>
      </c>
      <c r="H440" s="10" t="n">
        <v>2022</v>
      </c>
      <c r="I440" s="10" t="s">
        <v>1712</v>
      </c>
      <c r="J440" s="11" t="s">
        <v>70</v>
      </c>
      <c r="K440" s="10" t="s">
        <v>49</v>
      </c>
      <c r="L440" s="10"/>
    </row>
    <row r="441" customFormat="false" ht="23.85" hidden="false" customHeight="false" outlineLevel="0" collapsed="false">
      <c r="A441" s="10" t="s">
        <v>1916</v>
      </c>
      <c r="B441" s="10" t="s">
        <v>44</v>
      </c>
      <c r="C441" s="10" t="s">
        <v>45</v>
      </c>
      <c r="D441" s="10"/>
      <c r="E441" s="10"/>
      <c r="F441" s="10" t="s">
        <v>170</v>
      </c>
      <c r="G441" s="11" t="s">
        <v>1917</v>
      </c>
      <c r="H441" s="10" t="n">
        <v>2026</v>
      </c>
      <c r="I441" s="10" t="s">
        <v>320</v>
      </c>
      <c r="J441" s="11" t="s">
        <v>1918</v>
      </c>
      <c r="K441" s="10" t="s">
        <v>49</v>
      </c>
      <c r="L441" s="10" t="s">
        <v>1919</v>
      </c>
    </row>
    <row r="442" customFormat="false" ht="23.85" hidden="false" customHeight="false" outlineLevel="0" collapsed="false">
      <c r="A442" s="10" t="s">
        <v>1920</v>
      </c>
      <c r="B442" s="10" t="s">
        <v>44</v>
      </c>
      <c r="C442" s="10" t="s">
        <v>45</v>
      </c>
      <c r="D442" s="10"/>
      <c r="E442" s="10"/>
      <c r="F442" s="10" t="s">
        <v>52</v>
      </c>
      <c r="G442" s="11" t="s">
        <v>1921</v>
      </c>
      <c r="H442" s="10" t="n">
        <v>2020</v>
      </c>
      <c r="I442" s="10" t="s">
        <v>1922</v>
      </c>
      <c r="J442" s="11" t="s">
        <v>1923</v>
      </c>
      <c r="K442" s="10" t="s">
        <v>49</v>
      </c>
      <c r="L442" s="10" t="s">
        <v>1924</v>
      </c>
    </row>
    <row r="443" customFormat="false" ht="23.85" hidden="false" customHeight="false" outlineLevel="0" collapsed="false">
      <c r="A443" s="10" t="s">
        <v>1925</v>
      </c>
      <c r="B443" s="10" t="s">
        <v>44</v>
      </c>
      <c r="C443" s="10" t="s">
        <v>45</v>
      </c>
      <c r="D443" s="10"/>
      <c r="E443" s="10"/>
      <c r="F443" s="10" t="s">
        <v>44</v>
      </c>
      <c r="G443" s="11" t="s">
        <v>1926</v>
      </c>
      <c r="H443" s="10" t="n">
        <v>2026</v>
      </c>
      <c r="I443" s="10" t="s">
        <v>1927</v>
      </c>
      <c r="J443" s="11" t="s">
        <v>956</v>
      </c>
      <c r="K443" s="10" t="s">
        <v>61</v>
      </c>
      <c r="L443" s="10" t="s">
        <v>1928</v>
      </c>
    </row>
    <row r="444" customFormat="false" ht="23.85" hidden="false" customHeight="false" outlineLevel="0" collapsed="false">
      <c r="A444" s="10" t="s">
        <v>1929</v>
      </c>
      <c r="B444" s="10" t="s">
        <v>44</v>
      </c>
      <c r="C444" s="10" t="s">
        <v>45</v>
      </c>
      <c r="D444" s="10"/>
      <c r="E444" s="10"/>
      <c r="F444" s="10" t="s">
        <v>44</v>
      </c>
      <c r="G444" s="11" t="s">
        <v>1930</v>
      </c>
      <c r="H444" s="10" t="n">
        <v>2026</v>
      </c>
      <c r="I444" s="10" t="s">
        <v>348</v>
      </c>
      <c r="J444" s="11" t="s">
        <v>478</v>
      </c>
      <c r="K444" s="10" t="s">
        <v>61</v>
      </c>
      <c r="L444" s="10"/>
    </row>
    <row r="445" customFormat="false" ht="23.85" hidden="false" customHeight="false" outlineLevel="0" collapsed="false">
      <c r="A445" s="10" t="s">
        <v>1931</v>
      </c>
      <c r="B445" s="10" t="s">
        <v>44</v>
      </c>
      <c r="C445" s="10" t="s">
        <v>45</v>
      </c>
      <c r="D445" s="10"/>
      <c r="E445" s="10"/>
      <c r="F445" s="10" t="s">
        <v>52</v>
      </c>
      <c r="G445" s="11" t="s">
        <v>1932</v>
      </c>
      <c r="H445" s="10" t="n">
        <v>2026</v>
      </c>
      <c r="I445" s="10" t="s">
        <v>1933</v>
      </c>
      <c r="J445" s="11" t="s">
        <v>1934</v>
      </c>
      <c r="K445" s="10" t="s">
        <v>61</v>
      </c>
      <c r="L445" s="10" t="s">
        <v>1935</v>
      </c>
    </row>
    <row r="446" customFormat="false" ht="23.85" hidden="false" customHeight="false" outlineLevel="0" collapsed="false">
      <c r="A446" s="10" t="s">
        <v>1936</v>
      </c>
      <c r="B446" s="10" t="s">
        <v>44</v>
      </c>
      <c r="C446" s="10" t="s">
        <v>45</v>
      </c>
      <c r="D446" s="10"/>
      <c r="E446" s="10"/>
      <c r="F446" s="10" t="s">
        <v>44</v>
      </c>
      <c r="G446" s="11" t="s">
        <v>1937</v>
      </c>
      <c r="H446" s="10" t="n">
        <v>2018</v>
      </c>
      <c r="I446" s="10" t="s">
        <v>1938</v>
      </c>
      <c r="J446" s="11" t="s">
        <v>1939</v>
      </c>
      <c r="K446" s="10" t="s">
        <v>61</v>
      </c>
      <c r="L446" s="10" t="s">
        <v>1940</v>
      </c>
    </row>
    <row r="447" customFormat="false" ht="23.85" hidden="false" customHeight="false" outlineLevel="0" collapsed="false">
      <c r="A447" s="10" t="s">
        <v>1941</v>
      </c>
      <c r="B447" s="10" t="s">
        <v>44</v>
      </c>
      <c r="C447" s="10" t="s">
        <v>45</v>
      </c>
      <c r="D447" s="10"/>
      <c r="E447" s="10"/>
      <c r="F447" s="10" t="s">
        <v>44</v>
      </c>
      <c r="G447" s="11" t="s">
        <v>1942</v>
      </c>
      <c r="H447" s="10" t="n">
        <v>2020</v>
      </c>
      <c r="I447" s="10" t="s">
        <v>1933</v>
      </c>
      <c r="J447" s="11" t="s">
        <v>127</v>
      </c>
      <c r="K447" s="10" t="s">
        <v>61</v>
      </c>
      <c r="L447" s="10"/>
    </row>
    <row r="448" customFormat="false" ht="15" hidden="false" customHeight="false" outlineLevel="0" collapsed="false">
      <c r="A448" s="10" t="s">
        <v>1943</v>
      </c>
      <c r="B448" s="10" t="s">
        <v>44</v>
      </c>
      <c r="C448" s="10" t="s">
        <v>45</v>
      </c>
      <c r="D448" s="10"/>
      <c r="E448" s="10"/>
      <c r="F448" s="10" t="s">
        <v>52</v>
      </c>
      <c r="G448" s="11" t="s">
        <v>1944</v>
      </c>
      <c r="H448" s="10" t="n">
        <v>2026</v>
      </c>
      <c r="I448" s="10" t="s">
        <v>1945</v>
      </c>
      <c r="J448" s="11" t="s">
        <v>1946</v>
      </c>
      <c r="K448" s="10" t="s">
        <v>61</v>
      </c>
      <c r="L448" s="10" t="s">
        <v>1947</v>
      </c>
    </row>
    <row r="449" customFormat="false" ht="35.05" hidden="false" customHeight="false" outlineLevel="0" collapsed="false">
      <c r="A449" s="10" t="s">
        <v>1948</v>
      </c>
      <c r="B449" s="10" t="s">
        <v>44</v>
      </c>
      <c r="C449" s="10" t="s">
        <v>45</v>
      </c>
      <c r="D449" s="10"/>
      <c r="E449" s="10"/>
      <c r="F449" s="10" t="s">
        <v>44</v>
      </c>
      <c r="G449" s="11" t="s">
        <v>1949</v>
      </c>
      <c r="H449" s="10" t="n">
        <v>2025</v>
      </c>
      <c r="I449" s="10" t="s">
        <v>1950</v>
      </c>
      <c r="J449" s="11" t="s">
        <v>760</v>
      </c>
      <c r="K449" s="10" t="s">
        <v>49</v>
      </c>
      <c r="L449" s="10" t="s">
        <v>1951</v>
      </c>
    </row>
    <row r="450" customFormat="false" ht="46.25" hidden="false" customHeight="false" outlineLevel="0" collapsed="false">
      <c r="A450" s="10" t="s">
        <v>1952</v>
      </c>
      <c r="B450" s="10" t="s">
        <v>44</v>
      </c>
      <c r="C450" s="10" t="s">
        <v>45</v>
      </c>
      <c r="D450" s="10"/>
      <c r="E450" s="10"/>
      <c r="F450" s="10" t="s">
        <v>170</v>
      </c>
      <c r="G450" s="11" t="s">
        <v>1953</v>
      </c>
      <c r="H450" s="10" t="n">
        <v>2026</v>
      </c>
      <c r="I450" s="10" t="s">
        <v>1954</v>
      </c>
      <c r="J450" s="11" t="s">
        <v>1955</v>
      </c>
      <c r="K450" s="10" t="s">
        <v>49</v>
      </c>
      <c r="L450" s="10" t="s">
        <v>1956</v>
      </c>
    </row>
    <row r="451" customFormat="false" ht="23.85" hidden="false" customHeight="false" outlineLevel="0" collapsed="false">
      <c r="A451" s="10" t="s">
        <v>1957</v>
      </c>
      <c r="B451" s="10" t="s">
        <v>44</v>
      </c>
      <c r="C451" s="10" t="s">
        <v>45</v>
      </c>
      <c r="D451" s="10"/>
      <c r="E451" s="10"/>
      <c r="F451" s="10" t="s">
        <v>52</v>
      </c>
      <c r="G451" s="11" t="s">
        <v>1958</v>
      </c>
      <c r="H451" s="10" t="n">
        <v>2024</v>
      </c>
      <c r="I451" s="10" t="s">
        <v>1175</v>
      </c>
      <c r="J451" s="11" t="s">
        <v>82</v>
      </c>
      <c r="K451" s="10" t="s">
        <v>49</v>
      </c>
      <c r="L451" s="10" t="s">
        <v>1959</v>
      </c>
    </row>
    <row r="452" customFormat="false" ht="23.85" hidden="false" customHeight="false" outlineLevel="0" collapsed="false">
      <c r="A452" s="10" t="s">
        <v>1960</v>
      </c>
      <c r="B452" s="10" t="s">
        <v>44</v>
      </c>
      <c r="C452" s="10" t="s">
        <v>45</v>
      </c>
      <c r="D452" s="10"/>
      <c r="E452" s="10"/>
      <c r="F452" s="10" t="s">
        <v>44</v>
      </c>
      <c r="G452" s="11" t="s">
        <v>1961</v>
      </c>
      <c r="H452" s="10" t="n">
        <v>2019</v>
      </c>
      <c r="I452" s="10" t="s">
        <v>1962</v>
      </c>
      <c r="J452" s="11" t="s">
        <v>445</v>
      </c>
      <c r="K452" s="10" t="s">
        <v>61</v>
      </c>
      <c r="L452" s="10" t="s">
        <v>1963</v>
      </c>
    </row>
    <row r="453" customFormat="false" ht="23.85" hidden="false" customHeight="false" outlineLevel="0" collapsed="false">
      <c r="A453" s="10" t="s">
        <v>1964</v>
      </c>
      <c r="B453" s="10" t="s">
        <v>44</v>
      </c>
      <c r="C453" s="10" t="s">
        <v>45</v>
      </c>
      <c r="D453" s="10"/>
      <c r="E453" s="10"/>
      <c r="F453" s="10" t="s">
        <v>44</v>
      </c>
      <c r="G453" s="11" t="s">
        <v>1965</v>
      </c>
      <c r="H453" s="10" t="n">
        <v>2023</v>
      </c>
      <c r="I453" s="10" t="s">
        <v>1966</v>
      </c>
      <c r="J453" s="11" t="s">
        <v>907</v>
      </c>
      <c r="K453" s="10" t="s">
        <v>61</v>
      </c>
      <c r="L453" s="10" t="s">
        <v>1967</v>
      </c>
    </row>
    <row r="454" customFormat="false" ht="15" hidden="false" customHeight="false" outlineLevel="0" collapsed="false">
      <c r="A454" s="10" t="s">
        <v>1968</v>
      </c>
      <c r="B454" s="10" t="s">
        <v>44</v>
      </c>
      <c r="C454" s="10" t="s">
        <v>45</v>
      </c>
      <c r="D454" s="10"/>
      <c r="E454" s="10"/>
      <c r="F454" s="10" t="s">
        <v>44</v>
      </c>
      <c r="G454" s="11" t="s">
        <v>1969</v>
      </c>
      <c r="H454" s="10" t="n">
        <v>2022</v>
      </c>
      <c r="I454" s="10" t="s">
        <v>765</v>
      </c>
      <c r="J454" s="11" t="s">
        <v>66</v>
      </c>
      <c r="K454" s="10" t="s">
        <v>49</v>
      </c>
      <c r="L454" s="10"/>
    </row>
    <row r="455" customFormat="false" ht="23.85" hidden="false" customHeight="false" outlineLevel="0" collapsed="false">
      <c r="A455" s="10" t="s">
        <v>1970</v>
      </c>
      <c r="B455" s="10" t="s">
        <v>44</v>
      </c>
      <c r="C455" s="10" t="s">
        <v>45</v>
      </c>
      <c r="D455" s="10"/>
      <c r="E455" s="10"/>
      <c r="F455" s="10" t="s">
        <v>52</v>
      </c>
      <c r="G455" s="11" t="s">
        <v>1971</v>
      </c>
      <c r="H455" s="10" t="n">
        <v>2025</v>
      </c>
      <c r="I455" s="10" t="s">
        <v>1972</v>
      </c>
      <c r="J455" s="11" t="s">
        <v>1973</v>
      </c>
      <c r="K455" s="10" t="s">
        <v>49</v>
      </c>
      <c r="L455" s="10" t="s">
        <v>1974</v>
      </c>
    </row>
    <row r="456" customFormat="false" ht="23.85" hidden="false" customHeight="false" outlineLevel="0" collapsed="false">
      <c r="A456" s="10" t="s">
        <v>1975</v>
      </c>
      <c r="B456" s="10" t="s">
        <v>44</v>
      </c>
      <c r="C456" s="10" t="s">
        <v>45</v>
      </c>
      <c r="D456" s="10"/>
      <c r="E456" s="10"/>
      <c r="F456" s="10" t="s">
        <v>44</v>
      </c>
      <c r="G456" s="11" t="s">
        <v>1976</v>
      </c>
      <c r="H456" s="10" t="n">
        <v>2023</v>
      </c>
      <c r="I456" s="10" t="s">
        <v>1977</v>
      </c>
      <c r="J456" s="11" t="s">
        <v>608</v>
      </c>
      <c r="K456" s="10" t="s">
        <v>49</v>
      </c>
      <c r="L456" s="10"/>
    </row>
    <row r="457" customFormat="false" ht="15" hidden="false" customHeight="false" outlineLevel="0" collapsed="false">
      <c r="A457" s="10" t="s">
        <v>1978</v>
      </c>
      <c r="B457" s="10" t="s">
        <v>44</v>
      </c>
      <c r="C457" s="10" t="s">
        <v>45</v>
      </c>
      <c r="D457" s="10"/>
      <c r="E457" s="10"/>
      <c r="F457" s="10" t="s">
        <v>44</v>
      </c>
      <c r="G457" s="11" t="s">
        <v>1979</v>
      </c>
      <c r="H457" s="10" t="n">
        <v>2020</v>
      </c>
      <c r="I457" s="10" t="s">
        <v>1980</v>
      </c>
      <c r="J457" s="11" t="s">
        <v>1981</v>
      </c>
      <c r="K457" s="10" t="s">
        <v>61</v>
      </c>
      <c r="L457" s="10" t="s">
        <v>1982</v>
      </c>
    </row>
    <row r="458" customFormat="false" ht="35.05" hidden="false" customHeight="false" outlineLevel="0" collapsed="false">
      <c r="A458" s="10" t="s">
        <v>1983</v>
      </c>
      <c r="B458" s="10" t="s">
        <v>44</v>
      </c>
      <c r="C458" s="10" t="s">
        <v>45</v>
      </c>
      <c r="D458" s="10"/>
      <c r="E458" s="10"/>
      <c r="F458" s="10" t="s">
        <v>170</v>
      </c>
      <c r="G458" s="11" t="s">
        <v>1984</v>
      </c>
      <c r="H458" s="10" t="n">
        <v>2018</v>
      </c>
      <c r="I458" s="10" t="s">
        <v>1985</v>
      </c>
      <c r="J458" s="11" t="s">
        <v>1986</v>
      </c>
      <c r="K458" s="10" t="s">
        <v>49</v>
      </c>
      <c r="L458" s="10" t="s">
        <v>1987</v>
      </c>
    </row>
    <row r="459" customFormat="false" ht="23.85" hidden="false" customHeight="false" outlineLevel="0" collapsed="false">
      <c r="A459" s="10" t="s">
        <v>1988</v>
      </c>
      <c r="B459" s="10" t="s">
        <v>44</v>
      </c>
      <c r="C459" s="10" t="s">
        <v>45</v>
      </c>
      <c r="D459" s="10"/>
      <c r="E459" s="10"/>
      <c r="F459" s="10" t="s">
        <v>52</v>
      </c>
      <c r="G459" s="11" t="s">
        <v>1989</v>
      </c>
      <c r="H459" s="10" t="n">
        <v>2024</v>
      </c>
      <c r="I459" s="10" t="s">
        <v>1990</v>
      </c>
      <c r="J459" s="11" t="s">
        <v>560</v>
      </c>
      <c r="K459" s="10" t="s">
        <v>61</v>
      </c>
      <c r="L459" s="10" t="s">
        <v>1991</v>
      </c>
    </row>
    <row r="460" customFormat="false" ht="35.05" hidden="false" customHeight="false" outlineLevel="0" collapsed="false">
      <c r="A460" s="10" t="s">
        <v>1992</v>
      </c>
      <c r="B460" s="10" t="s">
        <v>44</v>
      </c>
      <c r="C460" s="10" t="s">
        <v>45</v>
      </c>
      <c r="D460" s="10"/>
      <c r="E460" s="10"/>
      <c r="F460" s="10" t="s">
        <v>44</v>
      </c>
      <c r="G460" s="11" t="s">
        <v>1993</v>
      </c>
      <c r="H460" s="10" t="n">
        <v>2026</v>
      </c>
      <c r="I460" s="10" t="s">
        <v>1994</v>
      </c>
      <c r="J460" s="11" t="s">
        <v>1995</v>
      </c>
      <c r="K460" s="10" t="s">
        <v>61</v>
      </c>
      <c r="L460" s="10" t="s">
        <v>1996</v>
      </c>
    </row>
    <row r="461" customFormat="false" ht="15" hidden="false" customHeight="false" outlineLevel="0" collapsed="false">
      <c r="A461" s="10" t="s">
        <v>1997</v>
      </c>
      <c r="B461" s="10" t="s">
        <v>44</v>
      </c>
      <c r="C461" s="10" t="s">
        <v>45</v>
      </c>
      <c r="D461" s="10"/>
      <c r="E461" s="10"/>
      <c r="F461" s="10" t="s">
        <v>44</v>
      </c>
      <c r="G461" s="11" t="s">
        <v>1998</v>
      </c>
      <c r="H461" s="10" t="n">
        <v>2023</v>
      </c>
      <c r="I461" s="10" t="s">
        <v>1999</v>
      </c>
      <c r="J461" s="11" t="s">
        <v>478</v>
      </c>
      <c r="K461" s="10" t="s">
        <v>61</v>
      </c>
      <c r="L461" s="10"/>
    </row>
    <row r="462" customFormat="false" ht="23.85" hidden="false" customHeight="false" outlineLevel="0" collapsed="false">
      <c r="A462" s="10" t="s">
        <v>2000</v>
      </c>
      <c r="B462" s="10" t="s">
        <v>44</v>
      </c>
      <c r="C462" s="10" t="s">
        <v>45</v>
      </c>
      <c r="D462" s="10"/>
      <c r="E462" s="10"/>
      <c r="F462" s="10" t="s">
        <v>44</v>
      </c>
      <c r="G462" s="11" t="s">
        <v>2001</v>
      </c>
      <c r="H462" s="10" t="n">
        <v>2025</v>
      </c>
      <c r="I462" s="10" t="s">
        <v>2002</v>
      </c>
      <c r="J462" s="11" t="s">
        <v>273</v>
      </c>
      <c r="K462" s="10" t="s">
        <v>49</v>
      </c>
      <c r="L462" s="10"/>
    </row>
    <row r="463" customFormat="false" ht="15" hidden="false" customHeight="false" outlineLevel="0" collapsed="false">
      <c r="A463" s="10" t="s">
        <v>2003</v>
      </c>
      <c r="B463" s="10" t="s">
        <v>44</v>
      </c>
      <c r="C463" s="10" t="s">
        <v>45</v>
      </c>
      <c r="D463" s="10"/>
      <c r="E463" s="10"/>
      <c r="F463" s="10" t="s">
        <v>44</v>
      </c>
      <c r="G463" s="11" t="s">
        <v>2004</v>
      </c>
      <c r="H463" s="10" t="n">
        <v>2023</v>
      </c>
      <c r="I463" s="10" t="s">
        <v>2005</v>
      </c>
      <c r="J463" s="11" t="s">
        <v>2006</v>
      </c>
      <c r="K463" s="10" t="s">
        <v>61</v>
      </c>
      <c r="L463" s="10" t="s">
        <v>2007</v>
      </c>
    </row>
    <row r="464" customFormat="false" ht="23.85" hidden="false" customHeight="false" outlineLevel="0" collapsed="false">
      <c r="A464" s="10" t="s">
        <v>2008</v>
      </c>
      <c r="B464" s="10" t="s">
        <v>44</v>
      </c>
      <c r="C464" s="10" t="s">
        <v>45</v>
      </c>
      <c r="D464" s="10"/>
      <c r="E464" s="10"/>
      <c r="F464" s="10" t="s">
        <v>44</v>
      </c>
      <c r="G464" s="11" t="s">
        <v>2009</v>
      </c>
      <c r="H464" s="10" t="n">
        <v>2021</v>
      </c>
      <c r="I464" s="10" t="s">
        <v>2010</v>
      </c>
      <c r="J464" s="11" t="s">
        <v>2011</v>
      </c>
      <c r="K464" s="10" t="s">
        <v>49</v>
      </c>
      <c r="L464" s="10" t="s">
        <v>2012</v>
      </c>
    </row>
    <row r="465" customFormat="false" ht="15" hidden="false" customHeight="false" outlineLevel="0" collapsed="false">
      <c r="A465" s="10" t="s">
        <v>2013</v>
      </c>
      <c r="B465" s="10" t="s">
        <v>44</v>
      </c>
      <c r="C465" s="10" t="s">
        <v>45</v>
      </c>
      <c r="D465" s="10"/>
      <c r="E465" s="10"/>
      <c r="F465" s="10" t="s">
        <v>44</v>
      </c>
      <c r="G465" s="11" t="s">
        <v>2014</v>
      </c>
      <c r="H465" s="10" t="n">
        <v>2023</v>
      </c>
      <c r="I465" s="10" t="s">
        <v>963</v>
      </c>
      <c r="J465" s="11" t="s">
        <v>2015</v>
      </c>
      <c r="K465" s="10" t="s">
        <v>61</v>
      </c>
      <c r="L465" s="10" t="s">
        <v>2016</v>
      </c>
    </row>
    <row r="466" customFormat="false" ht="23.85" hidden="false" customHeight="false" outlineLevel="0" collapsed="false">
      <c r="A466" s="10" t="s">
        <v>2017</v>
      </c>
      <c r="B466" s="10" t="s">
        <v>44</v>
      </c>
      <c r="C466" s="10" t="s">
        <v>45</v>
      </c>
      <c r="D466" s="10"/>
      <c r="E466" s="10"/>
      <c r="F466" s="10" t="s">
        <v>52</v>
      </c>
      <c r="G466" s="11" t="s">
        <v>2018</v>
      </c>
      <c r="H466" s="10" t="n">
        <v>2023</v>
      </c>
      <c r="I466" s="10" t="s">
        <v>2019</v>
      </c>
      <c r="J466" s="11" t="s">
        <v>2020</v>
      </c>
      <c r="K466" s="10" t="s">
        <v>49</v>
      </c>
      <c r="L466" s="10" t="s">
        <v>2021</v>
      </c>
    </row>
    <row r="467" customFormat="false" ht="23.85" hidden="false" customHeight="false" outlineLevel="0" collapsed="false">
      <c r="A467" s="10" t="s">
        <v>2022</v>
      </c>
      <c r="B467" s="10" t="s">
        <v>44</v>
      </c>
      <c r="C467" s="10" t="s">
        <v>45</v>
      </c>
      <c r="D467" s="10"/>
      <c r="E467" s="10"/>
      <c r="F467" s="10" t="s">
        <v>52</v>
      </c>
      <c r="G467" s="11" t="s">
        <v>2023</v>
      </c>
      <c r="H467" s="10" t="n">
        <v>2023</v>
      </c>
      <c r="I467" s="10" t="s">
        <v>2024</v>
      </c>
      <c r="J467" s="11" t="s">
        <v>1041</v>
      </c>
      <c r="K467" s="10" t="s">
        <v>61</v>
      </c>
      <c r="L467" s="10" t="s">
        <v>2025</v>
      </c>
    </row>
    <row r="468" customFormat="false" ht="23.85" hidden="false" customHeight="false" outlineLevel="0" collapsed="false">
      <c r="A468" s="10" t="s">
        <v>2026</v>
      </c>
      <c r="B468" s="10" t="s">
        <v>44</v>
      </c>
      <c r="C468" s="10" t="s">
        <v>45</v>
      </c>
      <c r="D468" s="10"/>
      <c r="E468" s="10"/>
      <c r="F468" s="10" t="s">
        <v>44</v>
      </c>
      <c r="G468" s="11" t="s">
        <v>2027</v>
      </c>
      <c r="H468" s="10" t="n">
        <v>2021</v>
      </c>
      <c r="I468" s="10" t="s">
        <v>47</v>
      </c>
      <c r="J468" s="11" t="s">
        <v>2028</v>
      </c>
      <c r="K468" s="10" t="s">
        <v>61</v>
      </c>
      <c r="L468" s="10" t="s">
        <v>2029</v>
      </c>
    </row>
    <row r="469" customFormat="false" ht="23.85" hidden="false" customHeight="false" outlineLevel="0" collapsed="false">
      <c r="A469" s="10" t="s">
        <v>2030</v>
      </c>
      <c r="B469" s="10" t="s">
        <v>44</v>
      </c>
      <c r="C469" s="10" t="s">
        <v>45</v>
      </c>
      <c r="D469" s="10"/>
      <c r="E469" s="10"/>
      <c r="F469" s="10" t="s">
        <v>44</v>
      </c>
      <c r="G469" s="11" t="s">
        <v>2031</v>
      </c>
      <c r="H469" s="10" t="n">
        <v>2025</v>
      </c>
      <c r="I469" s="10" t="s">
        <v>2002</v>
      </c>
      <c r="J469" s="11" t="s">
        <v>273</v>
      </c>
      <c r="K469" s="10" t="s">
        <v>49</v>
      </c>
      <c r="L469" s="10"/>
    </row>
    <row r="470" customFormat="false" ht="15" hidden="false" customHeight="false" outlineLevel="0" collapsed="false">
      <c r="A470" s="10" t="s">
        <v>2032</v>
      </c>
      <c r="B470" s="10" t="s">
        <v>44</v>
      </c>
      <c r="C470" s="10" t="s">
        <v>45</v>
      </c>
      <c r="D470" s="10"/>
      <c r="E470" s="10"/>
      <c r="F470" s="10" t="s">
        <v>44</v>
      </c>
      <c r="G470" s="11" t="s">
        <v>2033</v>
      </c>
      <c r="H470" s="10" t="n">
        <v>2020</v>
      </c>
      <c r="I470" s="10" t="s">
        <v>2034</v>
      </c>
      <c r="J470" s="11" t="s">
        <v>66</v>
      </c>
      <c r="K470" s="10" t="s">
        <v>49</v>
      </c>
      <c r="L470" s="10"/>
    </row>
    <row r="471" customFormat="false" ht="35.05" hidden="false" customHeight="false" outlineLevel="0" collapsed="false">
      <c r="A471" s="10" t="s">
        <v>2035</v>
      </c>
      <c r="B471" s="10" t="s">
        <v>44</v>
      </c>
      <c r="C471" s="10" t="s">
        <v>45</v>
      </c>
      <c r="D471" s="10"/>
      <c r="E471" s="10"/>
      <c r="F471" s="10" t="s">
        <v>44</v>
      </c>
      <c r="G471" s="11" t="s">
        <v>2036</v>
      </c>
      <c r="H471" s="10" t="n">
        <v>2023</v>
      </c>
      <c r="I471" s="10" t="s">
        <v>481</v>
      </c>
      <c r="J471" s="11" t="s">
        <v>2037</v>
      </c>
      <c r="K471" s="10" t="s">
        <v>49</v>
      </c>
      <c r="L471" s="10" t="s">
        <v>2038</v>
      </c>
    </row>
    <row r="472" customFormat="false" ht="23.85" hidden="false" customHeight="false" outlineLevel="0" collapsed="false">
      <c r="A472" s="10" t="s">
        <v>2039</v>
      </c>
      <c r="B472" s="10" t="s">
        <v>44</v>
      </c>
      <c r="C472" s="10" t="s">
        <v>45</v>
      </c>
      <c r="D472" s="10"/>
      <c r="E472" s="10"/>
      <c r="F472" s="10" t="s">
        <v>2040</v>
      </c>
      <c r="G472" s="11" t="s">
        <v>2041</v>
      </c>
      <c r="H472" s="10" t="n">
        <v>2023</v>
      </c>
      <c r="I472" s="10" t="s">
        <v>2042</v>
      </c>
      <c r="J472" s="11" t="s">
        <v>2043</v>
      </c>
      <c r="K472" s="10" t="s">
        <v>49</v>
      </c>
      <c r="L472" s="10" t="s">
        <v>2044</v>
      </c>
    </row>
    <row r="473" customFormat="false" ht="23.85" hidden="false" customHeight="false" outlineLevel="0" collapsed="false">
      <c r="A473" s="10" t="s">
        <v>2045</v>
      </c>
      <c r="B473" s="10" t="s">
        <v>44</v>
      </c>
      <c r="C473" s="10" t="s">
        <v>45</v>
      </c>
      <c r="D473" s="10"/>
      <c r="E473" s="10"/>
      <c r="F473" s="10" t="s">
        <v>52</v>
      </c>
      <c r="G473" s="11" t="s">
        <v>2046</v>
      </c>
      <c r="H473" s="10" t="n">
        <v>2025</v>
      </c>
      <c r="I473" s="10" t="s">
        <v>2047</v>
      </c>
      <c r="J473" s="11" t="s">
        <v>2048</v>
      </c>
      <c r="K473" s="10" t="s">
        <v>49</v>
      </c>
      <c r="L473" s="10" t="s">
        <v>2049</v>
      </c>
    </row>
    <row r="474" customFormat="false" ht="23.85" hidden="false" customHeight="false" outlineLevel="0" collapsed="false">
      <c r="A474" s="10" t="s">
        <v>2050</v>
      </c>
      <c r="B474" s="10" t="s">
        <v>44</v>
      </c>
      <c r="C474" s="10" t="s">
        <v>45</v>
      </c>
      <c r="D474" s="10"/>
      <c r="E474" s="10"/>
      <c r="F474" s="10" t="s">
        <v>44</v>
      </c>
      <c r="G474" s="11" t="s">
        <v>2051</v>
      </c>
      <c r="H474" s="10" t="n">
        <v>2025</v>
      </c>
      <c r="I474" s="10" t="s">
        <v>2052</v>
      </c>
      <c r="J474" s="11" t="s">
        <v>273</v>
      </c>
      <c r="K474" s="10" t="s">
        <v>49</v>
      </c>
      <c r="L474" s="10"/>
    </row>
    <row r="475" customFormat="false" ht="23.85" hidden="false" customHeight="false" outlineLevel="0" collapsed="false">
      <c r="A475" s="10" t="s">
        <v>2053</v>
      </c>
      <c r="B475" s="10" t="s">
        <v>44</v>
      </c>
      <c r="C475" s="10" t="s">
        <v>45</v>
      </c>
      <c r="D475" s="10"/>
      <c r="E475" s="10"/>
      <c r="F475" s="10" t="s">
        <v>44</v>
      </c>
      <c r="G475" s="11" t="s">
        <v>2054</v>
      </c>
      <c r="H475" s="10" t="n">
        <v>2025</v>
      </c>
      <c r="I475" s="10" t="s">
        <v>2055</v>
      </c>
      <c r="J475" s="11" t="s">
        <v>1355</v>
      </c>
      <c r="K475" s="10" t="s">
        <v>49</v>
      </c>
      <c r="L475" s="10" t="s">
        <v>2056</v>
      </c>
    </row>
    <row r="476" customFormat="false" ht="35.05" hidden="false" customHeight="false" outlineLevel="0" collapsed="false">
      <c r="A476" s="10" t="s">
        <v>2057</v>
      </c>
      <c r="B476" s="10" t="s">
        <v>44</v>
      </c>
      <c r="C476" s="10" t="s">
        <v>45</v>
      </c>
      <c r="D476" s="10"/>
      <c r="E476" s="10"/>
      <c r="F476" s="10" t="s">
        <v>52</v>
      </c>
      <c r="G476" s="11" t="s">
        <v>2058</v>
      </c>
      <c r="H476" s="10" t="n">
        <v>2026</v>
      </c>
      <c r="I476" s="10" t="s">
        <v>2059</v>
      </c>
      <c r="J476" s="11" t="s">
        <v>2060</v>
      </c>
      <c r="K476" s="10" t="s">
        <v>49</v>
      </c>
      <c r="L476" s="10" t="s">
        <v>2061</v>
      </c>
    </row>
    <row r="477" customFormat="false" ht="23.85" hidden="false" customHeight="false" outlineLevel="0" collapsed="false">
      <c r="A477" s="10" t="s">
        <v>2062</v>
      </c>
      <c r="B477" s="10" t="s">
        <v>44</v>
      </c>
      <c r="C477" s="10" t="s">
        <v>45</v>
      </c>
      <c r="D477" s="10"/>
      <c r="E477" s="10"/>
      <c r="F477" s="10" t="s">
        <v>44</v>
      </c>
      <c r="G477" s="11" t="s">
        <v>2063</v>
      </c>
      <c r="H477" s="10" t="n">
        <v>2025</v>
      </c>
      <c r="I477" s="10" t="s">
        <v>2064</v>
      </c>
      <c r="J477" s="11" t="s">
        <v>2065</v>
      </c>
      <c r="K477" s="10" t="s">
        <v>49</v>
      </c>
      <c r="L477" s="10" t="s">
        <v>2066</v>
      </c>
    </row>
    <row r="478" customFormat="false" ht="23.85" hidden="false" customHeight="false" outlineLevel="0" collapsed="false">
      <c r="A478" s="10" t="s">
        <v>2067</v>
      </c>
      <c r="B478" s="10" t="s">
        <v>44</v>
      </c>
      <c r="C478" s="10" t="s">
        <v>45</v>
      </c>
      <c r="D478" s="10"/>
      <c r="E478" s="10"/>
      <c r="F478" s="10" t="s">
        <v>44</v>
      </c>
      <c r="G478" s="11" t="s">
        <v>2068</v>
      </c>
      <c r="H478" s="10" t="n">
        <v>2024</v>
      </c>
      <c r="I478" s="10" t="s">
        <v>2069</v>
      </c>
      <c r="J478" s="11" t="s">
        <v>66</v>
      </c>
      <c r="K478" s="10" t="s">
        <v>49</v>
      </c>
      <c r="L478" s="10"/>
    </row>
    <row r="479" customFormat="false" ht="23.85" hidden="false" customHeight="false" outlineLevel="0" collapsed="false">
      <c r="A479" s="10" t="s">
        <v>2070</v>
      </c>
      <c r="B479" s="10" t="s">
        <v>44</v>
      </c>
      <c r="C479" s="10" t="s">
        <v>45</v>
      </c>
      <c r="D479" s="10"/>
      <c r="E479" s="10"/>
      <c r="F479" s="10" t="s">
        <v>44</v>
      </c>
      <c r="G479" s="11" t="s">
        <v>2071</v>
      </c>
      <c r="H479" s="10" t="n">
        <v>2021</v>
      </c>
      <c r="I479" s="10" t="s">
        <v>1712</v>
      </c>
      <c r="J479" s="11" t="s">
        <v>531</v>
      </c>
      <c r="K479" s="10" t="s">
        <v>49</v>
      </c>
      <c r="L479" s="10"/>
    </row>
    <row r="480" customFormat="false" ht="15" hidden="false" customHeight="false" outlineLevel="0" collapsed="false">
      <c r="A480" s="10" t="s">
        <v>2072</v>
      </c>
      <c r="B480" s="10" t="s">
        <v>44</v>
      </c>
      <c r="C480" s="10" t="s">
        <v>45</v>
      </c>
      <c r="D480" s="10"/>
      <c r="E480" s="10"/>
      <c r="F480" s="10" t="s">
        <v>44</v>
      </c>
      <c r="G480" s="11" t="s">
        <v>2073</v>
      </c>
      <c r="H480" s="10" t="n">
        <v>2025</v>
      </c>
      <c r="I480" s="10" t="s">
        <v>2074</v>
      </c>
      <c r="J480" s="11" t="s">
        <v>66</v>
      </c>
      <c r="K480" s="10" t="s">
        <v>49</v>
      </c>
      <c r="L480" s="10"/>
    </row>
    <row r="481" customFormat="false" ht="35.05" hidden="false" customHeight="false" outlineLevel="0" collapsed="false">
      <c r="A481" s="10" t="s">
        <v>2075</v>
      </c>
      <c r="B481" s="10" t="s">
        <v>44</v>
      </c>
      <c r="C481" s="10" t="s">
        <v>45</v>
      </c>
      <c r="D481" s="10"/>
      <c r="E481" s="10"/>
      <c r="F481" s="10" t="s">
        <v>44</v>
      </c>
      <c r="G481" s="11" t="s">
        <v>2076</v>
      </c>
      <c r="H481" s="10" t="n">
        <v>2022</v>
      </c>
      <c r="I481" s="10" t="s">
        <v>2077</v>
      </c>
      <c r="J481" s="11" t="s">
        <v>2078</v>
      </c>
      <c r="K481" s="10" t="s">
        <v>49</v>
      </c>
      <c r="L481" s="10" t="s">
        <v>2079</v>
      </c>
    </row>
    <row r="482" customFormat="false" ht="23.85" hidden="false" customHeight="false" outlineLevel="0" collapsed="false">
      <c r="A482" s="10" t="s">
        <v>2080</v>
      </c>
      <c r="B482" s="10" t="s">
        <v>44</v>
      </c>
      <c r="C482" s="10" t="s">
        <v>45</v>
      </c>
      <c r="D482" s="10"/>
      <c r="E482" s="10"/>
      <c r="F482" s="10" t="s">
        <v>52</v>
      </c>
      <c r="G482" s="11" t="s">
        <v>2081</v>
      </c>
      <c r="H482" s="10" t="n">
        <v>2024</v>
      </c>
      <c r="I482" s="10" t="s">
        <v>2082</v>
      </c>
      <c r="J482" s="11" t="s">
        <v>2083</v>
      </c>
      <c r="K482" s="10" t="s">
        <v>49</v>
      </c>
      <c r="L482" s="10" t="s">
        <v>2084</v>
      </c>
    </row>
    <row r="483" customFormat="false" ht="35.05" hidden="false" customHeight="false" outlineLevel="0" collapsed="false">
      <c r="A483" s="10" t="s">
        <v>2085</v>
      </c>
      <c r="B483" s="10" t="s">
        <v>44</v>
      </c>
      <c r="C483" s="10" t="s">
        <v>45</v>
      </c>
      <c r="D483" s="10"/>
      <c r="E483" s="10"/>
      <c r="F483" s="10" t="s">
        <v>44</v>
      </c>
      <c r="G483" s="11" t="s">
        <v>2086</v>
      </c>
      <c r="H483" s="10" t="n">
        <v>2023</v>
      </c>
      <c r="I483" s="10" t="s">
        <v>2087</v>
      </c>
      <c r="J483" s="11" t="s">
        <v>2088</v>
      </c>
      <c r="K483" s="10" t="s">
        <v>49</v>
      </c>
      <c r="L483" s="10" t="s">
        <v>2089</v>
      </c>
    </row>
    <row r="484" customFormat="false" ht="23.85" hidden="false" customHeight="false" outlineLevel="0" collapsed="false">
      <c r="A484" s="10" t="s">
        <v>2090</v>
      </c>
      <c r="B484" s="10" t="s">
        <v>44</v>
      </c>
      <c r="C484" s="10" t="s">
        <v>45</v>
      </c>
      <c r="D484" s="10"/>
      <c r="E484" s="10"/>
      <c r="F484" s="10" t="s">
        <v>44</v>
      </c>
      <c r="G484" s="11" t="s">
        <v>2091</v>
      </c>
      <c r="H484" s="10" t="n">
        <v>2024</v>
      </c>
      <c r="I484" s="10" t="s">
        <v>546</v>
      </c>
      <c r="J484" s="11" t="s">
        <v>2092</v>
      </c>
      <c r="K484" s="10" t="s">
        <v>49</v>
      </c>
      <c r="L484" s="10" t="s">
        <v>2093</v>
      </c>
    </row>
    <row r="485" customFormat="false" ht="23.85" hidden="false" customHeight="false" outlineLevel="0" collapsed="false">
      <c r="A485" s="10" t="s">
        <v>2094</v>
      </c>
      <c r="B485" s="10" t="s">
        <v>44</v>
      </c>
      <c r="C485" s="10" t="s">
        <v>45</v>
      </c>
      <c r="D485" s="10"/>
      <c r="E485" s="10"/>
      <c r="F485" s="10" t="s">
        <v>44</v>
      </c>
      <c r="G485" s="11" t="s">
        <v>2095</v>
      </c>
      <c r="H485" s="10" t="n">
        <v>2026</v>
      </c>
      <c r="I485" s="10" t="s">
        <v>2096</v>
      </c>
      <c r="J485" s="11" t="s">
        <v>2097</v>
      </c>
      <c r="K485" s="10" t="s">
        <v>61</v>
      </c>
      <c r="L485" s="10" t="s">
        <v>2098</v>
      </c>
    </row>
    <row r="486" customFormat="false" ht="23.85" hidden="false" customHeight="false" outlineLevel="0" collapsed="false">
      <c r="A486" s="10" t="s">
        <v>2099</v>
      </c>
      <c r="B486" s="10" t="s">
        <v>44</v>
      </c>
      <c r="C486" s="10" t="s">
        <v>45</v>
      </c>
      <c r="D486" s="10"/>
      <c r="E486" s="10"/>
      <c r="F486" s="10" t="s">
        <v>52</v>
      </c>
      <c r="G486" s="11" t="s">
        <v>2100</v>
      </c>
      <c r="H486" s="10" t="n">
        <v>2018</v>
      </c>
      <c r="I486" s="10" t="s">
        <v>2101</v>
      </c>
      <c r="J486" s="11" t="s">
        <v>2102</v>
      </c>
      <c r="K486" s="10" t="s">
        <v>61</v>
      </c>
      <c r="L486" s="10" t="s">
        <v>2103</v>
      </c>
    </row>
    <row r="487" customFormat="false" ht="23.85" hidden="false" customHeight="false" outlineLevel="0" collapsed="false">
      <c r="A487" s="10" t="s">
        <v>2104</v>
      </c>
      <c r="B487" s="10" t="s">
        <v>44</v>
      </c>
      <c r="C487" s="10" t="s">
        <v>45</v>
      </c>
      <c r="D487" s="10"/>
      <c r="E487" s="10"/>
      <c r="F487" s="10" t="s">
        <v>52</v>
      </c>
      <c r="G487" s="11" t="s">
        <v>2105</v>
      </c>
      <c r="H487" s="10" t="n">
        <v>2022</v>
      </c>
      <c r="I487" s="10" t="s">
        <v>2106</v>
      </c>
      <c r="J487" s="11" t="s">
        <v>2107</v>
      </c>
      <c r="K487" s="10" t="s">
        <v>61</v>
      </c>
      <c r="L487" s="10" t="s">
        <v>2108</v>
      </c>
    </row>
    <row r="488" customFormat="false" ht="23.85" hidden="false" customHeight="false" outlineLevel="0" collapsed="false">
      <c r="A488" s="10" t="s">
        <v>2109</v>
      </c>
      <c r="B488" s="10" t="s">
        <v>44</v>
      </c>
      <c r="C488" s="10" t="s">
        <v>408</v>
      </c>
      <c r="D488" s="10" t="s">
        <v>2032</v>
      </c>
      <c r="E488" s="10" t="s">
        <v>2110</v>
      </c>
      <c r="F488" s="10"/>
      <c r="G488" s="11" t="s">
        <v>2111</v>
      </c>
      <c r="H488" s="10" t="n">
        <v>2020</v>
      </c>
      <c r="I488" s="10" t="s">
        <v>2034</v>
      </c>
      <c r="J488" s="11" t="s">
        <v>214</v>
      </c>
      <c r="K488" s="10" t="s">
        <v>49</v>
      </c>
      <c r="L488" s="10"/>
    </row>
    <row r="489" customFormat="false" ht="57.45" hidden="false" customHeight="false" outlineLevel="0" collapsed="false">
      <c r="A489" s="10" t="s">
        <v>2112</v>
      </c>
      <c r="B489" s="10" t="s">
        <v>44</v>
      </c>
      <c r="C489" s="10" t="s">
        <v>45</v>
      </c>
      <c r="D489" s="10"/>
      <c r="E489" s="10"/>
      <c r="F489" s="10" t="s">
        <v>44</v>
      </c>
      <c r="G489" s="11" t="s">
        <v>2113</v>
      </c>
      <c r="H489" s="10" t="n">
        <v>2019</v>
      </c>
      <c r="I489" s="10" t="s">
        <v>2114</v>
      </c>
      <c r="J489" s="11" t="s">
        <v>1523</v>
      </c>
      <c r="K489" s="10" t="s">
        <v>49</v>
      </c>
      <c r="L489" s="10" t="s">
        <v>2115</v>
      </c>
    </row>
    <row r="490" customFormat="false" ht="35.05" hidden="false" customHeight="false" outlineLevel="0" collapsed="false">
      <c r="A490" s="10" t="s">
        <v>2116</v>
      </c>
      <c r="B490" s="10" t="s">
        <v>44</v>
      </c>
      <c r="C490" s="10" t="s">
        <v>45</v>
      </c>
      <c r="D490" s="10"/>
      <c r="E490" s="10"/>
      <c r="F490" s="10" t="s">
        <v>170</v>
      </c>
      <c r="G490" s="11" t="s">
        <v>2117</v>
      </c>
      <c r="H490" s="10" t="n">
        <v>2022</v>
      </c>
      <c r="I490" s="10" t="s">
        <v>2118</v>
      </c>
      <c r="J490" s="11" t="s">
        <v>410</v>
      </c>
      <c r="K490" s="10" t="s">
        <v>49</v>
      </c>
      <c r="L490" s="10"/>
    </row>
    <row r="491" customFormat="false" ht="23.85" hidden="false" customHeight="false" outlineLevel="0" collapsed="false">
      <c r="A491" s="10" t="s">
        <v>2119</v>
      </c>
      <c r="B491" s="10" t="s">
        <v>44</v>
      </c>
      <c r="C491" s="10" t="s">
        <v>45</v>
      </c>
      <c r="D491" s="10"/>
      <c r="E491" s="10"/>
      <c r="F491" s="10" t="s">
        <v>44</v>
      </c>
      <c r="G491" s="11" t="s">
        <v>2120</v>
      </c>
      <c r="H491" s="10" t="n">
        <v>2025</v>
      </c>
      <c r="I491" s="10" t="s">
        <v>2002</v>
      </c>
      <c r="J491" s="11" t="s">
        <v>273</v>
      </c>
      <c r="K491" s="10" t="s">
        <v>49</v>
      </c>
      <c r="L491" s="10"/>
    </row>
    <row r="492" customFormat="false" ht="23.85" hidden="false" customHeight="false" outlineLevel="0" collapsed="false">
      <c r="A492" s="10" t="s">
        <v>2121</v>
      </c>
      <c r="B492" s="10" t="s">
        <v>44</v>
      </c>
      <c r="C492" s="10" t="s">
        <v>45</v>
      </c>
      <c r="D492" s="10"/>
      <c r="E492" s="10"/>
      <c r="F492" s="10" t="s">
        <v>170</v>
      </c>
      <c r="G492" s="11" t="s">
        <v>2122</v>
      </c>
      <c r="H492" s="10" t="n">
        <v>2018</v>
      </c>
      <c r="I492" s="10" t="s">
        <v>2123</v>
      </c>
      <c r="J492" s="11" t="s">
        <v>2124</v>
      </c>
      <c r="K492" s="10" t="s">
        <v>61</v>
      </c>
      <c r="L492" s="10" t="s">
        <v>2125</v>
      </c>
    </row>
    <row r="493" customFormat="false" ht="23.85" hidden="false" customHeight="false" outlineLevel="0" collapsed="false">
      <c r="A493" s="10" t="s">
        <v>2126</v>
      </c>
      <c r="B493" s="10" t="s">
        <v>2127</v>
      </c>
      <c r="C493" s="10" t="s">
        <v>408</v>
      </c>
      <c r="D493" s="10" t="s">
        <v>115</v>
      </c>
      <c r="E493" s="10" t="s">
        <v>409</v>
      </c>
      <c r="F493" s="10"/>
      <c r="G493" s="11" t="s">
        <v>116</v>
      </c>
      <c r="H493" s="10" t="n">
        <v>2024</v>
      </c>
      <c r="I493" s="10" t="s">
        <v>2128</v>
      </c>
      <c r="J493" s="11" t="s">
        <v>2129</v>
      </c>
      <c r="K493" s="10" t="s">
        <v>49</v>
      </c>
      <c r="L493" s="10" t="s">
        <v>118</v>
      </c>
    </row>
    <row r="494" customFormat="false" ht="23.85" hidden="false" customHeight="false" outlineLevel="0" collapsed="false">
      <c r="A494" s="10" t="s">
        <v>2130</v>
      </c>
      <c r="B494" s="10" t="s">
        <v>2127</v>
      </c>
      <c r="C494" s="10" t="s">
        <v>408</v>
      </c>
      <c r="D494" s="10" t="s">
        <v>369</v>
      </c>
      <c r="E494" s="10" t="s">
        <v>409</v>
      </c>
      <c r="F494" s="10"/>
      <c r="G494" s="11" t="s">
        <v>370</v>
      </c>
      <c r="H494" s="10" t="n">
        <v>2025</v>
      </c>
      <c r="I494" s="10" t="s">
        <v>2131</v>
      </c>
      <c r="J494" s="11" t="s">
        <v>2132</v>
      </c>
      <c r="K494" s="10" t="s">
        <v>49</v>
      </c>
      <c r="L494" s="10" t="s">
        <v>373</v>
      </c>
    </row>
    <row r="495" customFormat="false" ht="23.85" hidden="false" customHeight="false" outlineLevel="0" collapsed="false">
      <c r="A495" s="10" t="s">
        <v>2133</v>
      </c>
      <c r="B495" s="10" t="s">
        <v>2127</v>
      </c>
      <c r="C495" s="10" t="s">
        <v>408</v>
      </c>
      <c r="D495" s="10" t="s">
        <v>682</v>
      </c>
      <c r="E495" s="10" t="s">
        <v>409</v>
      </c>
      <c r="F495" s="10"/>
      <c r="G495" s="11" t="s">
        <v>2134</v>
      </c>
      <c r="H495" s="10" t="n">
        <v>2020</v>
      </c>
      <c r="I495" s="10" t="s">
        <v>2135</v>
      </c>
      <c r="J495" s="11" t="s">
        <v>2136</v>
      </c>
      <c r="K495" s="10" t="s">
        <v>49</v>
      </c>
      <c r="L495" s="10" t="s">
        <v>686</v>
      </c>
    </row>
    <row r="496" customFormat="false" ht="35.05" hidden="false" customHeight="false" outlineLevel="0" collapsed="false">
      <c r="A496" s="10" t="s">
        <v>2137</v>
      </c>
      <c r="B496" s="10" t="s">
        <v>2127</v>
      </c>
      <c r="C496" s="10" t="s">
        <v>408</v>
      </c>
      <c r="D496" s="10" t="s">
        <v>1596</v>
      </c>
      <c r="E496" s="10" t="s">
        <v>409</v>
      </c>
      <c r="F496" s="10"/>
      <c r="G496" s="11" t="s">
        <v>1597</v>
      </c>
      <c r="H496" s="10" t="n">
        <v>2026</v>
      </c>
      <c r="I496" s="10" t="s">
        <v>2138</v>
      </c>
      <c r="J496" s="11" t="s">
        <v>2139</v>
      </c>
      <c r="K496" s="10" t="s">
        <v>49</v>
      </c>
      <c r="L496" s="10" t="s">
        <v>1599</v>
      </c>
    </row>
    <row r="497" customFormat="false" ht="46.25" hidden="false" customHeight="false" outlineLevel="0" collapsed="false">
      <c r="A497" s="10" t="s">
        <v>2140</v>
      </c>
      <c r="B497" s="10" t="s">
        <v>2127</v>
      </c>
      <c r="C497" s="10" t="s">
        <v>408</v>
      </c>
      <c r="D497" s="10" t="s">
        <v>1163</v>
      </c>
      <c r="E497" s="10" t="s">
        <v>409</v>
      </c>
      <c r="F497" s="10"/>
      <c r="G497" s="11" t="s">
        <v>2141</v>
      </c>
      <c r="H497" s="10" t="n">
        <v>2022</v>
      </c>
      <c r="I497" s="10" t="s">
        <v>2142</v>
      </c>
      <c r="J497" s="11" t="s">
        <v>2143</v>
      </c>
      <c r="K497" s="10" t="s">
        <v>49</v>
      </c>
      <c r="L497" s="10" t="s">
        <v>1167</v>
      </c>
    </row>
    <row r="498" customFormat="false" ht="23.85" hidden="false" customHeight="false" outlineLevel="0" collapsed="false">
      <c r="A498" s="10" t="s">
        <v>2144</v>
      </c>
      <c r="B498" s="10" t="s">
        <v>2127</v>
      </c>
      <c r="C498" s="10" t="s">
        <v>408</v>
      </c>
      <c r="D498" s="10" t="s">
        <v>1438</v>
      </c>
      <c r="E498" s="10" t="s">
        <v>409</v>
      </c>
      <c r="F498" s="10"/>
      <c r="G498" s="11" t="s">
        <v>1439</v>
      </c>
      <c r="H498" s="10" t="n">
        <v>2024</v>
      </c>
      <c r="I498" s="10" t="s">
        <v>2145</v>
      </c>
      <c r="J498" s="11" t="s">
        <v>2146</v>
      </c>
      <c r="K498" s="10" t="s">
        <v>49</v>
      </c>
      <c r="L498" s="10" t="s">
        <v>1442</v>
      </c>
    </row>
    <row r="499" customFormat="false" ht="23.85" hidden="false" customHeight="false" outlineLevel="0" collapsed="false">
      <c r="A499" s="10" t="s">
        <v>2147</v>
      </c>
      <c r="B499" s="10" t="s">
        <v>2127</v>
      </c>
      <c r="C499" s="10" t="s">
        <v>408</v>
      </c>
      <c r="D499" s="10" t="s">
        <v>1560</v>
      </c>
      <c r="E499" s="10" t="s">
        <v>409</v>
      </c>
      <c r="F499" s="10"/>
      <c r="G499" s="11" t="s">
        <v>1561</v>
      </c>
      <c r="H499" s="10" t="n">
        <v>2020</v>
      </c>
      <c r="I499" s="10" t="s">
        <v>2148</v>
      </c>
      <c r="J499" s="11" t="s">
        <v>2149</v>
      </c>
      <c r="K499" s="10" t="s">
        <v>49</v>
      </c>
      <c r="L499" s="10" t="s">
        <v>1564</v>
      </c>
    </row>
    <row r="500" customFormat="false" ht="46.25" hidden="false" customHeight="false" outlineLevel="0" collapsed="false">
      <c r="A500" s="10" t="s">
        <v>2150</v>
      </c>
      <c r="B500" s="10" t="s">
        <v>2127</v>
      </c>
      <c r="C500" s="10" t="s">
        <v>408</v>
      </c>
      <c r="D500" s="10" t="s">
        <v>1532</v>
      </c>
      <c r="E500" s="10" t="s">
        <v>409</v>
      </c>
      <c r="F500" s="10"/>
      <c r="G500" s="11" t="s">
        <v>2151</v>
      </c>
      <c r="H500" s="10" t="n">
        <v>2018</v>
      </c>
      <c r="I500" s="10" t="s">
        <v>2152</v>
      </c>
      <c r="J500" s="11" t="s">
        <v>2153</v>
      </c>
      <c r="K500" s="10" t="s">
        <v>49</v>
      </c>
      <c r="L500" s="10" t="s">
        <v>1536</v>
      </c>
    </row>
    <row r="501" customFormat="false" ht="23.85" hidden="false" customHeight="false" outlineLevel="0" collapsed="false">
      <c r="A501" s="10" t="s">
        <v>2154</v>
      </c>
      <c r="B501" s="10" t="s">
        <v>2127</v>
      </c>
      <c r="C501" s="10" t="s">
        <v>408</v>
      </c>
      <c r="D501" s="10" t="s">
        <v>323</v>
      </c>
      <c r="E501" s="10" t="s">
        <v>409</v>
      </c>
      <c r="F501" s="10"/>
      <c r="G501" s="11" t="s">
        <v>324</v>
      </c>
      <c r="H501" s="10" t="n">
        <v>2025</v>
      </c>
      <c r="I501" s="10" t="s">
        <v>2155</v>
      </c>
      <c r="J501" s="11" t="s">
        <v>2156</v>
      </c>
      <c r="K501" s="10" t="s">
        <v>49</v>
      </c>
      <c r="L501" s="10" t="s">
        <v>327</v>
      </c>
    </row>
    <row r="502" customFormat="false" ht="23.85" hidden="false" customHeight="false" outlineLevel="0" collapsed="false">
      <c r="A502" s="10" t="s">
        <v>2157</v>
      </c>
      <c r="B502" s="10" t="s">
        <v>2127</v>
      </c>
      <c r="C502" s="10" t="s">
        <v>45</v>
      </c>
      <c r="D502" s="10"/>
      <c r="E502" s="10"/>
      <c r="F502" s="10" t="s">
        <v>2127</v>
      </c>
      <c r="G502" s="11" t="s">
        <v>2158</v>
      </c>
      <c r="H502" s="10" t="n">
        <v>2023</v>
      </c>
      <c r="I502" s="10" t="s">
        <v>2159</v>
      </c>
      <c r="J502" s="11" t="s">
        <v>560</v>
      </c>
      <c r="K502" s="10" t="s">
        <v>61</v>
      </c>
      <c r="L502" s="10" t="s">
        <v>2160</v>
      </c>
    </row>
    <row r="503" customFormat="false" ht="23.85" hidden="false" customHeight="false" outlineLevel="0" collapsed="false">
      <c r="A503" s="10" t="s">
        <v>2161</v>
      </c>
      <c r="B503" s="10" t="s">
        <v>2127</v>
      </c>
      <c r="C503" s="10" t="s">
        <v>45</v>
      </c>
      <c r="D503" s="10"/>
      <c r="E503" s="10"/>
      <c r="F503" s="10" t="s">
        <v>2127</v>
      </c>
      <c r="G503" s="11" t="s">
        <v>2162</v>
      </c>
      <c r="H503" s="10" t="n">
        <v>2022</v>
      </c>
      <c r="I503" s="10" t="s">
        <v>2163</v>
      </c>
      <c r="J503" s="11" t="s">
        <v>2164</v>
      </c>
      <c r="K503" s="10" t="s">
        <v>49</v>
      </c>
      <c r="L503" s="10" t="s">
        <v>2165</v>
      </c>
    </row>
    <row r="504" customFormat="false" ht="23.85" hidden="false" customHeight="false" outlineLevel="0" collapsed="false">
      <c r="A504" s="10" t="s">
        <v>2166</v>
      </c>
      <c r="B504" s="10" t="s">
        <v>2127</v>
      </c>
      <c r="C504" s="10" t="s">
        <v>408</v>
      </c>
      <c r="D504" s="10" t="s">
        <v>1302</v>
      </c>
      <c r="E504" s="10" t="s">
        <v>409</v>
      </c>
      <c r="F504" s="10"/>
      <c r="G504" s="11" t="s">
        <v>1303</v>
      </c>
      <c r="H504" s="10" t="n">
        <v>2024</v>
      </c>
      <c r="I504" s="10" t="s">
        <v>2167</v>
      </c>
      <c r="J504" s="11" t="s">
        <v>2168</v>
      </c>
      <c r="K504" s="10" t="s">
        <v>49</v>
      </c>
      <c r="L504" s="10" t="s">
        <v>1305</v>
      </c>
    </row>
    <row r="505" customFormat="false" ht="35.05" hidden="false" customHeight="false" outlineLevel="0" collapsed="false">
      <c r="A505" s="10" t="s">
        <v>2169</v>
      </c>
      <c r="B505" s="10" t="s">
        <v>2127</v>
      </c>
      <c r="C505" s="10" t="s">
        <v>45</v>
      </c>
      <c r="D505" s="10"/>
      <c r="E505" s="10"/>
      <c r="F505" s="10" t="s">
        <v>2127</v>
      </c>
      <c r="G505" s="11" t="s">
        <v>2170</v>
      </c>
      <c r="H505" s="10" t="n">
        <v>2023</v>
      </c>
      <c r="I505" s="10" t="s">
        <v>2171</v>
      </c>
      <c r="J505" s="11" t="s">
        <v>2172</v>
      </c>
      <c r="K505" s="10" t="s">
        <v>49</v>
      </c>
      <c r="L505" s="10" t="s">
        <v>2173</v>
      </c>
    </row>
    <row r="506" customFormat="false" ht="35.05" hidden="false" customHeight="false" outlineLevel="0" collapsed="false">
      <c r="A506" s="10" t="s">
        <v>2174</v>
      </c>
      <c r="B506" s="10" t="s">
        <v>2127</v>
      </c>
      <c r="C506" s="10" t="s">
        <v>408</v>
      </c>
      <c r="D506" s="10" t="s">
        <v>820</v>
      </c>
      <c r="E506" s="10" t="s">
        <v>409</v>
      </c>
      <c r="F506" s="10"/>
      <c r="G506" s="11" t="s">
        <v>821</v>
      </c>
      <c r="H506" s="10" t="n">
        <v>2025</v>
      </c>
      <c r="I506" s="10" t="s">
        <v>2175</v>
      </c>
      <c r="J506" s="11" t="s">
        <v>2176</v>
      </c>
      <c r="K506" s="10" t="s">
        <v>49</v>
      </c>
      <c r="L506" s="10" t="s">
        <v>824</v>
      </c>
    </row>
    <row r="507" customFormat="false" ht="23.85" hidden="false" customHeight="false" outlineLevel="0" collapsed="false">
      <c r="A507" s="10" t="s">
        <v>2177</v>
      </c>
      <c r="B507" s="10" t="s">
        <v>2127</v>
      </c>
      <c r="C507" s="10" t="s">
        <v>408</v>
      </c>
      <c r="D507" s="10" t="s">
        <v>2099</v>
      </c>
      <c r="E507" s="10" t="s">
        <v>409</v>
      </c>
      <c r="F507" s="10"/>
      <c r="G507" s="11" t="s">
        <v>2100</v>
      </c>
      <c r="H507" s="10" t="n">
        <v>2018</v>
      </c>
      <c r="I507" s="10" t="s">
        <v>2178</v>
      </c>
      <c r="J507" s="11" t="s">
        <v>2102</v>
      </c>
      <c r="K507" s="10" t="s">
        <v>61</v>
      </c>
      <c r="L507" s="10" t="s">
        <v>2103</v>
      </c>
    </row>
    <row r="508" customFormat="false" ht="23.85" hidden="false" customHeight="false" outlineLevel="0" collapsed="false">
      <c r="A508" s="10" t="s">
        <v>2179</v>
      </c>
      <c r="B508" s="10" t="s">
        <v>2127</v>
      </c>
      <c r="C508" s="10" t="s">
        <v>408</v>
      </c>
      <c r="D508" s="10" t="s">
        <v>1920</v>
      </c>
      <c r="E508" s="10" t="s">
        <v>409</v>
      </c>
      <c r="F508" s="10"/>
      <c r="G508" s="11" t="s">
        <v>1921</v>
      </c>
      <c r="H508" s="10" t="n">
        <v>2020</v>
      </c>
      <c r="I508" s="10" t="s">
        <v>2180</v>
      </c>
      <c r="J508" s="11" t="s">
        <v>2181</v>
      </c>
      <c r="K508" s="10" t="s">
        <v>49</v>
      </c>
      <c r="L508" s="10" t="s">
        <v>1924</v>
      </c>
    </row>
    <row r="509" customFormat="false" ht="23.85" hidden="false" customHeight="false" outlineLevel="0" collapsed="false">
      <c r="A509" s="10" t="s">
        <v>2182</v>
      </c>
      <c r="B509" s="10" t="s">
        <v>2127</v>
      </c>
      <c r="C509" s="10" t="s">
        <v>45</v>
      </c>
      <c r="D509" s="10"/>
      <c r="E509" s="10"/>
      <c r="F509" s="10" t="s">
        <v>2127</v>
      </c>
      <c r="G509" s="11" t="s">
        <v>2183</v>
      </c>
      <c r="H509" s="10" t="n">
        <v>2020</v>
      </c>
      <c r="I509" s="10" t="s">
        <v>2184</v>
      </c>
      <c r="J509" s="11" t="s">
        <v>2185</v>
      </c>
      <c r="K509" s="10" t="s">
        <v>49</v>
      </c>
      <c r="L509" s="10" t="s">
        <v>2186</v>
      </c>
    </row>
    <row r="510" customFormat="false" ht="35.05" hidden="false" customHeight="false" outlineLevel="0" collapsed="false">
      <c r="A510" s="10" t="s">
        <v>2187</v>
      </c>
      <c r="B510" s="10" t="s">
        <v>2127</v>
      </c>
      <c r="C510" s="10" t="s">
        <v>408</v>
      </c>
      <c r="D510" s="10" t="s">
        <v>1493</v>
      </c>
      <c r="E510" s="10" t="s">
        <v>409</v>
      </c>
      <c r="F510" s="10"/>
      <c r="G510" s="11" t="s">
        <v>2188</v>
      </c>
      <c r="H510" s="10" t="n">
        <v>2021</v>
      </c>
      <c r="I510" s="10" t="s">
        <v>2189</v>
      </c>
      <c r="J510" s="11" t="s">
        <v>2190</v>
      </c>
      <c r="K510" s="10" t="s">
        <v>49</v>
      </c>
      <c r="L510" s="10" t="s">
        <v>1497</v>
      </c>
    </row>
    <row r="511" customFormat="false" ht="35.05" hidden="false" customHeight="false" outlineLevel="0" collapsed="false">
      <c r="A511" s="10" t="s">
        <v>2191</v>
      </c>
      <c r="B511" s="10" t="s">
        <v>2127</v>
      </c>
      <c r="C511" s="10" t="s">
        <v>45</v>
      </c>
      <c r="D511" s="10"/>
      <c r="E511" s="10"/>
      <c r="F511" s="10" t="s">
        <v>2127</v>
      </c>
      <c r="G511" s="11" t="s">
        <v>2192</v>
      </c>
      <c r="H511" s="10" t="n">
        <v>2026</v>
      </c>
      <c r="I511" s="10" t="s">
        <v>2193</v>
      </c>
      <c r="J511" s="11" t="s">
        <v>2194</v>
      </c>
      <c r="K511" s="10" t="s">
        <v>49</v>
      </c>
      <c r="L511" s="10" t="s">
        <v>2195</v>
      </c>
    </row>
    <row r="512" customFormat="false" ht="23.85" hidden="false" customHeight="false" outlineLevel="0" collapsed="false">
      <c r="A512" s="10" t="s">
        <v>2196</v>
      </c>
      <c r="B512" s="10" t="s">
        <v>2127</v>
      </c>
      <c r="C512" s="10" t="s">
        <v>45</v>
      </c>
      <c r="D512" s="10"/>
      <c r="E512" s="10"/>
      <c r="F512" s="10" t="s">
        <v>2127</v>
      </c>
      <c r="G512" s="11" t="s">
        <v>2197</v>
      </c>
      <c r="H512" s="10" t="n">
        <v>2021</v>
      </c>
      <c r="I512" s="10" t="s">
        <v>2198</v>
      </c>
      <c r="J512" s="11" t="s">
        <v>2199</v>
      </c>
      <c r="K512" s="10" t="s">
        <v>49</v>
      </c>
      <c r="L512" s="10" t="s">
        <v>2200</v>
      </c>
    </row>
    <row r="513" customFormat="false" ht="23.85" hidden="false" customHeight="false" outlineLevel="0" collapsed="false">
      <c r="A513" s="10" t="s">
        <v>2201</v>
      </c>
      <c r="B513" s="10" t="s">
        <v>2127</v>
      </c>
      <c r="C513" s="10" t="s">
        <v>45</v>
      </c>
      <c r="D513" s="10"/>
      <c r="E513" s="10"/>
      <c r="F513" s="10" t="s">
        <v>2127</v>
      </c>
      <c r="G513" s="11" t="s">
        <v>2202</v>
      </c>
      <c r="H513" s="10" t="n">
        <v>2024</v>
      </c>
      <c r="I513" s="10" t="s">
        <v>2203</v>
      </c>
      <c r="J513" s="11" t="s">
        <v>2204</v>
      </c>
      <c r="K513" s="10" t="s">
        <v>49</v>
      </c>
      <c r="L513" s="10" t="s">
        <v>2205</v>
      </c>
    </row>
    <row r="514" customFormat="false" ht="35.05" hidden="false" customHeight="false" outlineLevel="0" collapsed="false">
      <c r="A514" s="10" t="s">
        <v>2206</v>
      </c>
      <c r="B514" s="10" t="s">
        <v>2127</v>
      </c>
      <c r="C514" s="10" t="s">
        <v>408</v>
      </c>
      <c r="D514" s="10" t="s">
        <v>793</v>
      </c>
      <c r="E514" s="10" t="s">
        <v>409</v>
      </c>
      <c r="F514" s="10"/>
      <c r="G514" s="11" t="s">
        <v>794</v>
      </c>
      <c r="H514" s="10" t="n">
        <v>2026</v>
      </c>
      <c r="I514" s="10" t="s">
        <v>2207</v>
      </c>
      <c r="J514" s="11" t="s">
        <v>2139</v>
      </c>
      <c r="K514" s="10" t="s">
        <v>49</v>
      </c>
      <c r="L514" s="10" t="s">
        <v>797</v>
      </c>
    </row>
    <row r="515" customFormat="false" ht="23.85" hidden="false" customHeight="false" outlineLevel="0" collapsed="false">
      <c r="A515" s="10" t="s">
        <v>2208</v>
      </c>
      <c r="B515" s="10" t="s">
        <v>2127</v>
      </c>
      <c r="C515" s="10" t="s">
        <v>408</v>
      </c>
      <c r="D515" s="10" t="s">
        <v>1177</v>
      </c>
      <c r="E515" s="10" t="s">
        <v>409</v>
      </c>
      <c r="F515" s="10"/>
      <c r="G515" s="11" t="s">
        <v>1178</v>
      </c>
      <c r="H515" s="10" t="n">
        <v>2021</v>
      </c>
      <c r="I515" s="10" t="s">
        <v>2209</v>
      </c>
      <c r="J515" s="11" t="s">
        <v>2210</v>
      </c>
      <c r="K515" s="10" t="s">
        <v>49</v>
      </c>
      <c r="L515" s="10" t="s">
        <v>1180</v>
      </c>
    </row>
    <row r="516" customFormat="false" ht="23.85" hidden="false" customHeight="false" outlineLevel="0" collapsed="false">
      <c r="A516" s="10" t="s">
        <v>2211</v>
      </c>
      <c r="B516" s="10" t="s">
        <v>2127</v>
      </c>
      <c r="C516" s="10" t="s">
        <v>45</v>
      </c>
      <c r="D516" s="10"/>
      <c r="E516" s="10"/>
      <c r="F516" s="10" t="s">
        <v>2127</v>
      </c>
      <c r="G516" s="11" t="s">
        <v>2212</v>
      </c>
      <c r="H516" s="10" t="n">
        <v>2021</v>
      </c>
      <c r="I516" s="10" t="s">
        <v>2213</v>
      </c>
      <c r="J516" s="11" t="s">
        <v>2214</v>
      </c>
      <c r="K516" s="10" t="s">
        <v>49</v>
      </c>
      <c r="L516" s="10" t="s">
        <v>2215</v>
      </c>
    </row>
    <row r="517" customFormat="false" ht="23.85" hidden="false" customHeight="false" outlineLevel="0" collapsed="false">
      <c r="A517" s="10" t="s">
        <v>2216</v>
      </c>
      <c r="B517" s="10" t="s">
        <v>2127</v>
      </c>
      <c r="C517" s="10" t="s">
        <v>45</v>
      </c>
      <c r="D517" s="10"/>
      <c r="E517" s="10"/>
      <c r="F517" s="10" t="s">
        <v>2127</v>
      </c>
      <c r="G517" s="11" t="s">
        <v>2217</v>
      </c>
      <c r="H517" s="10" t="n">
        <v>2023</v>
      </c>
      <c r="I517" s="10" t="s">
        <v>2218</v>
      </c>
      <c r="J517" s="11" t="s">
        <v>1041</v>
      </c>
      <c r="K517" s="10" t="s">
        <v>61</v>
      </c>
      <c r="L517" s="10" t="s">
        <v>2219</v>
      </c>
    </row>
    <row r="518" customFormat="false" ht="23.85" hidden="false" customHeight="false" outlineLevel="0" collapsed="false">
      <c r="A518" s="10" t="s">
        <v>2220</v>
      </c>
      <c r="B518" s="10" t="s">
        <v>2127</v>
      </c>
      <c r="C518" s="10" t="s">
        <v>408</v>
      </c>
      <c r="D518" s="10" t="s">
        <v>1190</v>
      </c>
      <c r="E518" s="10" t="s">
        <v>409</v>
      </c>
      <c r="F518" s="10"/>
      <c r="G518" s="11" t="s">
        <v>1191</v>
      </c>
      <c r="H518" s="10" t="n">
        <v>2024</v>
      </c>
      <c r="I518" s="10" t="s">
        <v>2221</v>
      </c>
      <c r="J518" s="11" t="s">
        <v>349</v>
      </c>
      <c r="K518" s="10" t="s">
        <v>61</v>
      </c>
      <c r="L518" s="10" t="s">
        <v>1193</v>
      </c>
    </row>
    <row r="519" customFormat="false" ht="23.85" hidden="false" customHeight="false" outlineLevel="0" collapsed="false">
      <c r="A519" s="10" t="s">
        <v>2222</v>
      </c>
      <c r="B519" s="10" t="s">
        <v>2127</v>
      </c>
      <c r="C519" s="10" t="s">
        <v>45</v>
      </c>
      <c r="D519" s="10"/>
      <c r="E519" s="10"/>
      <c r="F519" s="10" t="s">
        <v>2127</v>
      </c>
      <c r="G519" s="11" t="s">
        <v>2223</v>
      </c>
      <c r="H519" s="10" t="n">
        <v>2026</v>
      </c>
      <c r="I519" s="10" t="s">
        <v>2224</v>
      </c>
      <c r="J519" s="11" t="s">
        <v>2225</v>
      </c>
      <c r="K519" s="10" t="s">
        <v>49</v>
      </c>
      <c r="L519" s="10" t="s">
        <v>2226</v>
      </c>
    </row>
    <row r="520" customFormat="false" ht="35.05" hidden="false" customHeight="false" outlineLevel="0" collapsed="false">
      <c r="A520" s="10" t="s">
        <v>2227</v>
      </c>
      <c r="B520" s="10" t="s">
        <v>2127</v>
      </c>
      <c r="C520" s="10" t="s">
        <v>408</v>
      </c>
      <c r="D520" s="10" t="s">
        <v>894</v>
      </c>
      <c r="E520" s="10" t="s">
        <v>409</v>
      </c>
      <c r="F520" s="10"/>
      <c r="G520" s="11" t="s">
        <v>895</v>
      </c>
      <c r="H520" s="10" t="n">
        <v>2026</v>
      </c>
      <c r="I520" s="10" t="s">
        <v>2228</v>
      </c>
      <c r="J520" s="11" t="s">
        <v>2229</v>
      </c>
      <c r="K520" s="10" t="s">
        <v>49</v>
      </c>
      <c r="L520" s="10" t="s">
        <v>898</v>
      </c>
    </row>
    <row r="521" customFormat="false" ht="15" hidden="false" customHeight="false" outlineLevel="0" collapsed="false">
      <c r="A521" s="10" t="s">
        <v>2230</v>
      </c>
      <c r="B521" s="10" t="s">
        <v>2127</v>
      </c>
      <c r="C521" s="10" t="s">
        <v>408</v>
      </c>
      <c r="D521" s="10" t="s">
        <v>1729</v>
      </c>
      <c r="E521" s="10" t="s">
        <v>409</v>
      </c>
      <c r="F521" s="10"/>
      <c r="G521" s="11" t="s">
        <v>2231</v>
      </c>
      <c r="H521" s="10" t="n">
        <v>2020</v>
      </c>
      <c r="I521" s="10" t="s">
        <v>2232</v>
      </c>
      <c r="J521" s="11" t="s">
        <v>2185</v>
      </c>
      <c r="K521" s="10" t="s">
        <v>49</v>
      </c>
      <c r="L521" s="10" t="s">
        <v>1732</v>
      </c>
    </row>
    <row r="522" customFormat="false" ht="23.85" hidden="false" customHeight="false" outlineLevel="0" collapsed="false">
      <c r="A522" s="10" t="s">
        <v>2233</v>
      </c>
      <c r="B522" s="10" t="s">
        <v>2127</v>
      </c>
      <c r="C522" s="10" t="s">
        <v>408</v>
      </c>
      <c r="D522" s="10" t="s">
        <v>1552</v>
      </c>
      <c r="E522" s="10" t="s">
        <v>409</v>
      </c>
      <c r="F522" s="10"/>
      <c r="G522" s="11" t="s">
        <v>1553</v>
      </c>
      <c r="H522" s="10" t="n">
        <v>2025</v>
      </c>
      <c r="I522" s="10" t="s">
        <v>2234</v>
      </c>
      <c r="J522" s="11" t="s">
        <v>663</v>
      </c>
      <c r="K522" s="10" t="s">
        <v>61</v>
      </c>
      <c r="L522" s="10" t="s">
        <v>1555</v>
      </c>
    </row>
    <row r="523" customFormat="false" ht="35.05" hidden="false" customHeight="false" outlineLevel="0" collapsed="false">
      <c r="A523" s="10" t="s">
        <v>2235</v>
      </c>
      <c r="B523" s="10" t="s">
        <v>2127</v>
      </c>
      <c r="C523" s="10" t="s">
        <v>45</v>
      </c>
      <c r="D523" s="10"/>
      <c r="E523" s="10"/>
      <c r="F523" s="10" t="s">
        <v>2127</v>
      </c>
      <c r="G523" s="11" t="s">
        <v>2236</v>
      </c>
      <c r="H523" s="10" t="n">
        <v>2023</v>
      </c>
      <c r="I523" s="10" t="s">
        <v>2237</v>
      </c>
      <c r="J523" s="11" t="s">
        <v>2238</v>
      </c>
      <c r="K523" s="10" t="s">
        <v>49</v>
      </c>
      <c r="L523" s="10" t="s">
        <v>2239</v>
      </c>
    </row>
    <row r="524" customFormat="false" ht="23.85" hidden="false" customHeight="false" outlineLevel="0" collapsed="false">
      <c r="A524" s="10" t="s">
        <v>2240</v>
      </c>
      <c r="B524" s="10" t="s">
        <v>2127</v>
      </c>
      <c r="C524" s="10" t="s">
        <v>408</v>
      </c>
      <c r="D524" s="10" t="s">
        <v>1957</v>
      </c>
      <c r="E524" s="10" t="s">
        <v>409</v>
      </c>
      <c r="F524" s="10"/>
      <c r="G524" s="11" t="s">
        <v>1958</v>
      </c>
      <c r="H524" s="10" t="n">
        <v>2024</v>
      </c>
      <c r="I524" s="10" t="s">
        <v>2241</v>
      </c>
      <c r="J524" s="11" t="s">
        <v>2242</v>
      </c>
      <c r="K524" s="10" t="s">
        <v>49</v>
      </c>
      <c r="L524" s="10" t="s">
        <v>1959</v>
      </c>
    </row>
    <row r="525" customFormat="false" ht="35.05" hidden="false" customHeight="false" outlineLevel="0" collapsed="false">
      <c r="A525" s="10" t="s">
        <v>2243</v>
      </c>
      <c r="B525" s="10" t="s">
        <v>2127</v>
      </c>
      <c r="C525" s="10" t="s">
        <v>45</v>
      </c>
      <c r="D525" s="10"/>
      <c r="E525" s="10"/>
      <c r="F525" s="10" t="s">
        <v>2127</v>
      </c>
      <c r="G525" s="11" t="s">
        <v>2244</v>
      </c>
      <c r="H525" s="10" t="n">
        <v>2025</v>
      </c>
      <c r="I525" s="10" t="s">
        <v>2245</v>
      </c>
      <c r="J525" s="11" t="s">
        <v>2246</v>
      </c>
      <c r="K525" s="10" t="s">
        <v>49</v>
      </c>
      <c r="L525" s="10" t="s">
        <v>2247</v>
      </c>
    </row>
    <row r="526" customFormat="false" ht="23.85" hidden="false" customHeight="false" outlineLevel="0" collapsed="false">
      <c r="A526" s="10" t="s">
        <v>2248</v>
      </c>
      <c r="B526" s="10" t="s">
        <v>2127</v>
      </c>
      <c r="C526" s="10" t="s">
        <v>408</v>
      </c>
      <c r="D526" s="10" t="s">
        <v>57</v>
      </c>
      <c r="E526" s="10" t="s">
        <v>409</v>
      </c>
      <c r="F526" s="10"/>
      <c r="G526" s="11" t="s">
        <v>2249</v>
      </c>
      <c r="H526" s="10" t="n">
        <v>2025</v>
      </c>
      <c r="I526" s="10" t="s">
        <v>2250</v>
      </c>
      <c r="J526" s="11" t="s">
        <v>60</v>
      </c>
      <c r="K526" s="10" t="s">
        <v>61</v>
      </c>
      <c r="L526" s="10" t="s">
        <v>62</v>
      </c>
    </row>
    <row r="527" customFormat="false" ht="23.85" hidden="false" customHeight="false" outlineLevel="0" collapsed="false">
      <c r="A527" s="10" t="s">
        <v>2251</v>
      </c>
      <c r="B527" s="10" t="s">
        <v>2127</v>
      </c>
      <c r="C527" s="10" t="s">
        <v>45</v>
      </c>
      <c r="D527" s="10"/>
      <c r="E527" s="10"/>
      <c r="F527" s="10" t="s">
        <v>2127</v>
      </c>
      <c r="G527" s="11" t="s">
        <v>2252</v>
      </c>
      <c r="H527" s="10" t="n">
        <v>2024</v>
      </c>
      <c r="I527" s="10" t="s">
        <v>2250</v>
      </c>
      <c r="J527" s="11" t="s">
        <v>2253</v>
      </c>
      <c r="K527" s="10" t="s">
        <v>61</v>
      </c>
      <c r="L527" s="10" t="s">
        <v>2254</v>
      </c>
    </row>
    <row r="528" customFormat="false" ht="35.05" hidden="false" customHeight="false" outlineLevel="0" collapsed="false">
      <c r="A528" s="10" t="s">
        <v>2255</v>
      </c>
      <c r="B528" s="10" t="s">
        <v>2127</v>
      </c>
      <c r="C528" s="10" t="s">
        <v>45</v>
      </c>
      <c r="D528" s="10"/>
      <c r="E528" s="10"/>
      <c r="F528" s="10" t="s">
        <v>2127</v>
      </c>
      <c r="G528" s="11" t="s">
        <v>2256</v>
      </c>
      <c r="H528" s="10" t="n">
        <v>2020</v>
      </c>
      <c r="I528" s="10" t="s">
        <v>2257</v>
      </c>
      <c r="J528" s="11" t="s">
        <v>2258</v>
      </c>
      <c r="K528" s="10" t="s">
        <v>49</v>
      </c>
      <c r="L528" s="10" t="s">
        <v>2259</v>
      </c>
    </row>
    <row r="529" customFormat="false" ht="23.85" hidden="false" customHeight="false" outlineLevel="0" collapsed="false">
      <c r="A529" s="10" t="s">
        <v>2260</v>
      </c>
      <c r="B529" s="10" t="s">
        <v>2127</v>
      </c>
      <c r="C529" s="10" t="s">
        <v>45</v>
      </c>
      <c r="D529" s="10"/>
      <c r="E529" s="10"/>
      <c r="F529" s="10" t="s">
        <v>2127</v>
      </c>
      <c r="G529" s="11" t="s">
        <v>2261</v>
      </c>
      <c r="H529" s="10" t="n">
        <v>2021</v>
      </c>
      <c r="I529" s="10" t="s">
        <v>2262</v>
      </c>
      <c r="J529" s="11" t="s">
        <v>2263</v>
      </c>
      <c r="K529" s="10" t="s">
        <v>61</v>
      </c>
      <c r="L529" s="10" t="s">
        <v>2264</v>
      </c>
    </row>
    <row r="530" customFormat="false" ht="23.85" hidden="false" customHeight="false" outlineLevel="0" collapsed="false">
      <c r="A530" s="10" t="s">
        <v>2265</v>
      </c>
      <c r="B530" s="10" t="s">
        <v>2127</v>
      </c>
      <c r="C530" s="10" t="s">
        <v>408</v>
      </c>
      <c r="D530" s="10" t="s">
        <v>484</v>
      </c>
      <c r="E530" s="10" t="s">
        <v>409</v>
      </c>
      <c r="F530" s="10"/>
      <c r="G530" s="11" t="s">
        <v>485</v>
      </c>
      <c r="H530" s="10" t="n">
        <v>2024</v>
      </c>
      <c r="I530" s="10" t="s">
        <v>2266</v>
      </c>
      <c r="J530" s="11" t="s">
        <v>2267</v>
      </c>
      <c r="K530" s="10" t="s">
        <v>49</v>
      </c>
      <c r="L530" s="10" t="s">
        <v>488</v>
      </c>
    </row>
    <row r="531" customFormat="false" ht="23.85" hidden="false" customHeight="false" outlineLevel="0" collapsed="false">
      <c r="A531" s="10" t="s">
        <v>2268</v>
      </c>
      <c r="B531" s="10" t="s">
        <v>2127</v>
      </c>
      <c r="C531" s="10" t="s">
        <v>45</v>
      </c>
      <c r="D531" s="10"/>
      <c r="E531" s="10"/>
      <c r="F531" s="10" t="s">
        <v>2127</v>
      </c>
      <c r="G531" s="11" t="s">
        <v>2269</v>
      </c>
      <c r="H531" s="10" t="n">
        <v>2023</v>
      </c>
      <c r="I531" s="10" t="s">
        <v>2270</v>
      </c>
      <c r="J531" s="11" t="s">
        <v>2102</v>
      </c>
      <c r="K531" s="10" t="s">
        <v>61</v>
      </c>
      <c r="L531" s="10" t="s">
        <v>2271</v>
      </c>
    </row>
    <row r="532" customFormat="false" ht="23.85" hidden="false" customHeight="false" outlineLevel="0" collapsed="false">
      <c r="A532" s="10" t="s">
        <v>2272</v>
      </c>
      <c r="B532" s="10" t="s">
        <v>2127</v>
      </c>
      <c r="C532" s="10" t="s">
        <v>45</v>
      </c>
      <c r="D532" s="10"/>
      <c r="E532" s="10"/>
      <c r="F532" s="10" t="s">
        <v>2127</v>
      </c>
      <c r="G532" s="11" t="s">
        <v>2273</v>
      </c>
      <c r="H532" s="10" t="n">
        <v>2025</v>
      </c>
      <c r="I532" s="10" t="s">
        <v>2274</v>
      </c>
      <c r="J532" s="11" t="s">
        <v>2275</v>
      </c>
      <c r="K532" s="10" t="s">
        <v>61</v>
      </c>
      <c r="L532" s="10" t="s">
        <v>2276</v>
      </c>
    </row>
    <row r="533" customFormat="false" ht="23.85" hidden="false" customHeight="false" outlineLevel="0" collapsed="false">
      <c r="A533" s="10" t="s">
        <v>2277</v>
      </c>
      <c r="B533" s="10" t="s">
        <v>2127</v>
      </c>
      <c r="C533" s="10" t="s">
        <v>408</v>
      </c>
      <c r="D533" s="10" t="s">
        <v>493</v>
      </c>
      <c r="E533" s="10" t="s">
        <v>409</v>
      </c>
      <c r="F533" s="10"/>
      <c r="G533" s="11" t="s">
        <v>494</v>
      </c>
      <c r="H533" s="10" t="n">
        <v>2022</v>
      </c>
      <c r="I533" s="10" t="s">
        <v>2278</v>
      </c>
      <c r="J533" s="11" t="s">
        <v>2279</v>
      </c>
      <c r="K533" s="10" t="s">
        <v>49</v>
      </c>
      <c r="L533" s="10" t="s">
        <v>497</v>
      </c>
    </row>
    <row r="534" customFormat="false" ht="23.85" hidden="false" customHeight="false" outlineLevel="0" collapsed="false">
      <c r="A534" s="10" t="s">
        <v>2280</v>
      </c>
      <c r="B534" s="10" t="s">
        <v>2127</v>
      </c>
      <c r="C534" s="10" t="s">
        <v>45</v>
      </c>
      <c r="D534" s="10"/>
      <c r="E534" s="10"/>
      <c r="F534" s="10" t="s">
        <v>2127</v>
      </c>
      <c r="G534" s="11" t="s">
        <v>2281</v>
      </c>
      <c r="H534" s="10" t="n">
        <v>2024</v>
      </c>
      <c r="I534" s="10" t="s">
        <v>2218</v>
      </c>
      <c r="J534" s="11" t="s">
        <v>1041</v>
      </c>
      <c r="K534" s="10" t="s">
        <v>61</v>
      </c>
      <c r="L534" s="10" t="s">
        <v>2282</v>
      </c>
    </row>
    <row r="535" customFormat="false" ht="23.85" hidden="false" customHeight="false" outlineLevel="0" collapsed="false">
      <c r="A535" s="10" t="s">
        <v>2283</v>
      </c>
      <c r="B535" s="10" t="s">
        <v>2127</v>
      </c>
      <c r="C535" s="10" t="s">
        <v>408</v>
      </c>
      <c r="D535" s="10" t="s">
        <v>1184</v>
      </c>
      <c r="E535" s="10" t="s">
        <v>409</v>
      </c>
      <c r="F535" s="10"/>
      <c r="G535" s="11" t="s">
        <v>1185</v>
      </c>
      <c r="H535" s="10" t="n">
        <v>2026</v>
      </c>
      <c r="I535" s="10" t="s">
        <v>2284</v>
      </c>
      <c r="J535" s="11" t="s">
        <v>1058</v>
      </c>
      <c r="K535" s="10" t="s">
        <v>61</v>
      </c>
      <c r="L535" s="10" t="s">
        <v>1186</v>
      </c>
    </row>
    <row r="536" customFormat="false" ht="35.05" hidden="false" customHeight="false" outlineLevel="0" collapsed="false">
      <c r="A536" s="10" t="s">
        <v>2285</v>
      </c>
      <c r="B536" s="10" t="s">
        <v>2127</v>
      </c>
      <c r="C536" s="10" t="s">
        <v>2286</v>
      </c>
      <c r="D536" s="10"/>
      <c r="E536" s="10" t="s">
        <v>2287</v>
      </c>
      <c r="F536" s="10"/>
      <c r="G536" s="11" t="s">
        <v>2288</v>
      </c>
      <c r="H536" s="10" t="n">
        <v>2023</v>
      </c>
      <c r="I536" s="10" t="s">
        <v>2289</v>
      </c>
      <c r="J536" s="11" t="s">
        <v>2290</v>
      </c>
      <c r="K536" s="10" t="s">
        <v>2291</v>
      </c>
      <c r="L536" s="10" t="s">
        <v>2292</v>
      </c>
    </row>
    <row r="537" customFormat="false" ht="23.85" hidden="false" customHeight="false" outlineLevel="0" collapsed="false">
      <c r="A537" s="10" t="s">
        <v>2293</v>
      </c>
      <c r="B537" s="10" t="s">
        <v>2127</v>
      </c>
      <c r="C537" s="10" t="s">
        <v>45</v>
      </c>
      <c r="D537" s="10"/>
      <c r="E537" s="10"/>
      <c r="F537" s="10" t="s">
        <v>2127</v>
      </c>
      <c r="G537" s="11" t="s">
        <v>2294</v>
      </c>
      <c r="H537" s="10" t="n">
        <v>2021</v>
      </c>
      <c r="I537" s="10" t="s">
        <v>2295</v>
      </c>
      <c r="J537" s="11" t="s">
        <v>2296</v>
      </c>
      <c r="K537" s="10" t="s">
        <v>49</v>
      </c>
      <c r="L537" s="10" t="s">
        <v>2297</v>
      </c>
    </row>
    <row r="538" customFormat="false" ht="23.85" hidden="false" customHeight="false" outlineLevel="0" collapsed="false">
      <c r="A538" s="10" t="s">
        <v>2298</v>
      </c>
      <c r="B538" s="10" t="s">
        <v>2127</v>
      </c>
      <c r="C538" s="10" t="s">
        <v>408</v>
      </c>
      <c r="D538" s="10" t="s">
        <v>1029</v>
      </c>
      <c r="E538" s="10" t="s">
        <v>409</v>
      </c>
      <c r="F538" s="10"/>
      <c r="G538" s="11" t="s">
        <v>1030</v>
      </c>
      <c r="H538" s="10" t="n">
        <v>2025</v>
      </c>
      <c r="I538" s="10" t="s">
        <v>2299</v>
      </c>
      <c r="J538" s="11" t="s">
        <v>1031</v>
      </c>
      <c r="K538" s="10" t="s">
        <v>61</v>
      </c>
      <c r="L538" s="10" t="s">
        <v>1032</v>
      </c>
    </row>
    <row r="539" customFormat="false" ht="23.85" hidden="false" customHeight="false" outlineLevel="0" collapsed="false">
      <c r="A539" s="10" t="s">
        <v>2300</v>
      </c>
      <c r="B539" s="10" t="s">
        <v>2127</v>
      </c>
      <c r="C539" s="10" t="s">
        <v>408</v>
      </c>
      <c r="D539" s="10" t="s">
        <v>2104</v>
      </c>
      <c r="E539" s="10" t="s">
        <v>409</v>
      </c>
      <c r="F539" s="10"/>
      <c r="G539" s="11" t="s">
        <v>2105</v>
      </c>
      <c r="H539" s="10" t="n">
        <v>2022</v>
      </c>
      <c r="I539" s="10" t="s">
        <v>2301</v>
      </c>
      <c r="J539" s="11" t="s">
        <v>2107</v>
      </c>
      <c r="K539" s="10" t="s">
        <v>61</v>
      </c>
      <c r="L539" s="10" t="s">
        <v>2108</v>
      </c>
    </row>
    <row r="540" customFormat="false" ht="23.85" hidden="false" customHeight="false" outlineLevel="0" collapsed="false">
      <c r="A540" s="10" t="s">
        <v>2302</v>
      </c>
      <c r="B540" s="10" t="s">
        <v>2127</v>
      </c>
      <c r="C540" s="10" t="s">
        <v>408</v>
      </c>
      <c r="D540" s="10" t="s">
        <v>2022</v>
      </c>
      <c r="E540" s="10" t="s">
        <v>409</v>
      </c>
      <c r="F540" s="10"/>
      <c r="G540" s="11" t="s">
        <v>2023</v>
      </c>
      <c r="H540" s="10" t="n">
        <v>2023</v>
      </c>
      <c r="I540" s="10" t="s">
        <v>2303</v>
      </c>
      <c r="J540" s="11" t="s">
        <v>1041</v>
      </c>
      <c r="K540" s="10" t="s">
        <v>61</v>
      </c>
      <c r="L540" s="10" t="s">
        <v>2025</v>
      </c>
    </row>
    <row r="541" customFormat="false" ht="35.05" hidden="false" customHeight="false" outlineLevel="0" collapsed="false">
      <c r="A541" s="10" t="s">
        <v>2304</v>
      </c>
      <c r="B541" s="10" t="s">
        <v>2127</v>
      </c>
      <c r="C541" s="10" t="s">
        <v>45</v>
      </c>
      <c r="D541" s="10"/>
      <c r="E541" s="10"/>
      <c r="F541" s="10" t="s">
        <v>2127</v>
      </c>
      <c r="G541" s="11" t="s">
        <v>2305</v>
      </c>
      <c r="H541" s="10" t="n">
        <v>2024</v>
      </c>
      <c r="I541" s="10" t="s">
        <v>2306</v>
      </c>
      <c r="J541" s="11" t="s">
        <v>2307</v>
      </c>
      <c r="K541" s="10" t="s">
        <v>49</v>
      </c>
      <c r="L541" s="10" t="s">
        <v>2308</v>
      </c>
    </row>
    <row r="542" customFormat="false" ht="23.85" hidden="false" customHeight="false" outlineLevel="0" collapsed="false">
      <c r="A542" s="10" t="s">
        <v>2309</v>
      </c>
      <c r="B542" s="10" t="s">
        <v>2127</v>
      </c>
      <c r="C542" s="10" t="s">
        <v>408</v>
      </c>
      <c r="D542" s="10" t="s">
        <v>844</v>
      </c>
      <c r="E542" s="10" t="s">
        <v>409</v>
      </c>
      <c r="F542" s="10"/>
      <c r="G542" s="11" t="s">
        <v>845</v>
      </c>
      <c r="H542" s="10" t="n">
        <v>2025</v>
      </c>
      <c r="I542" s="10" t="s">
        <v>2310</v>
      </c>
      <c r="J542" s="11" t="s">
        <v>2311</v>
      </c>
      <c r="K542" s="10" t="s">
        <v>49</v>
      </c>
      <c r="L542" s="10" t="s">
        <v>847</v>
      </c>
    </row>
    <row r="543" customFormat="false" ht="23.85" hidden="false" customHeight="false" outlineLevel="0" collapsed="false">
      <c r="A543" s="10" t="s">
        <v>2312</v>
      </c>
      <c r="B543" s="10" t="s">
        <v>2127</v>
      </c>
      <c r="C543" s="10" t="s">
        <v>408</v>
      </c>
      <c r="D543" s="10" t="s">
        <v>162</v>
      </c>
      <c r="E543" s="10" t="s">
        <v>409</v>
      </c>
      <c r="F543" s="10"/>
      <c r="G543" s="11" t="s">
        <v>163</v>
      </c>
      <c r="H543" s="10" t="n">
        <v>2025</v>
      </c>
      <c r="I543" s="10" t="s">
        <v>2128</v>
      </c>
      <c r="J543" s="11" t="s">
        <v>2311</v>
      </c>
      <c r="K543" s="10" t="s">
        <v>49</v>
      </c>
      <c r="L543" s="10" t="s">
        <v>164</v>
      </c>
    </row>
    <row r="544" customFormat="false" ht="23.85" hidden="false" customHeight="false" outlineLevel="0" collapsed="false">
      <c r="A544" s="10" t="s">
        <v>2313</v>
      </c>
      <c r="B544" s="10" t="s">
        <v>2127</v>
      </c>
      <c r="C544" s="10" t="s">
        <v>408</v>
      </c>
      <c r="D544" s="10" t="s">
        <v>142</v>
      </c>
      <c r="E544" s="10" t="s">
        <v>409</v>
      </c>
      <c r="F544" s="10"/>
      <c r="G544" s="11" t="s">
        <v>143</v>
      </c>
      <c r="H544" s="10" t="n">
        <v>2021</v>
      </c>
      <c r="I544" s="10" t="s">
        <v>2314</v>
      </c>
      <c r="J544" s="11" t="s">
        <v>2315</v>
      </c>
      <c r="K544" s="10" t="s">
        <v>49</v>
      </c>
      <c r="L544" s="10" t="s">
        <v>146</v>
      </c>
    </row>
    <row r="545" customFormat="false" ht="23.85" hidden="false" customHeight="false" outlineLevel="0" collapsed="false">
      <c r="A545" s="10" t="s">
        <v>2316</v>
      </c>
      <c r="B545" s="10" t="s">
        <v>2127</v>
      </c>
      <c r="C545" s="10" t="s">
        <v>45</v>
      </c>
      <c r="D545" s="10"/>
      <c r="E545" s="10"/>
      <c r="F545" s="10" t="s">
        <v>2127</v>
      </c>
      <c r="G545" s="11" t="s">
        <v>2317</v>
      </c>
      <c r="H545" s="10" t="n">
        <v>2021</v>
      </c>
      <c r="I545" s="10" t="s">
        <v>2218</v>
      </c>
      <c r="J545" s="11" t="s">
        <v>2318</v>
      </c>
      <c r="K545" s="10" t="s">
        <v>49</v>
      </c>
      <c r="L545" s="10" t="s">
        <v>2319</v>
      </c>
    </row>
    <row r="546" customFormat="false" ht="23.85" hidden="false" customHeight="false" outlineLevel="0" collapsed="false">
      <c r="A546" s="10" t="s">
        <v>2320</v>
      </c>
      <c r="B546" s="10" t="s">
        <v>2127</v>
      </c>
      <c r="C546" s="10" t="s">
        <v>45</v>
      </c>
      <c r="D546" s="10"/>
      <c r="E546" s="10"/>
      <c r="F546" s="10" t="s">
        <v>2127</v>
      </c>
      <c r="G546" s="11" t="s">
        <v>2321</v>
      </c>
      <c r="H546" s="10" t="n">
        <v>2023</v>
      </c>
      <c r="I546" s="10" t="s">
        <v>2322</v>
      </c>
      <c r="J546" s="11" t="s">
        <v>2323</v>
      </c>
      <c r="K546" s="10" t="s">
        <v>49</v>
      </c>
      <c r="L546" s="10" t="s">
        <v>2324</v>
      </c>
    </row>
    <row r="547" customFormat="false" ht="23.85" hidden="false" customHeight="false" outlineLevel="0" collapsed="false">
      <c r="A547" s="10" t="s">
        <v>2325</v>
      </c>
      <c r="B547" s="10" t="s">
        <v>2127</v>
      </c>
      <c r="C547" s="10" t="s">
        <v>45</v>
      </c>
      <c r="D547" s="10"/>
      <c r="E547" s="10"/>
      <c r="F547" s="10" t="s">
        <v>2127</v>
      </c>
      <c r="G547" s="11" t="s">
        <v>2326</v>
      </c>
      <c r="H547" s="10" t="n">
        <v>2023</v>
      </c>
      <c r="I547" s="10" t="s">
        <v>2327</v>
      </c>
      <c r="J547" s="11" t="s">
        <v>2328</v>
      </c>
      <c r="K547" s="10" t="s">
        <v>49</v>
      </c>
      <c r="L547" s="10" t="s">
        <v>2329</v>
      </c>
    </row>
    <row r="548" customFormat="false" ht="23.85" hidden="false" customHeight="false" outlineLevel="0" collapsed="false">
      <c r="A548" s="10" t="s">
        <v>2330</v>
      </c>
      <c r="B548" s="10" t="s">
        <v>2127</v>
      </c>
      <c r="C548" s="10" t="s">
        <v>408</v>
      </c>
      <c r="D548" s="10" t="s">
        <v>1038</v>
      </c>
      <c r="E548" s="10" t="s">
        <v>409</v>
      </c>
      <c r="F548" s="10"/>
      <c r="G548" s="11" t="s">
        <v>1039</v>
      </c>
      <c r="H548" s="10" t="n">
        <v>2024</v>
      </c>
      <c r="I548" s="10" t="s">
        <v>2331</v>
      </c>
      <c r="J548" s="11" t="s">
        <v>1041</v>
      </c>
      <c r="K548" s="10" t="s">
        <v>61</v>
      </c>
      <c r="L548" s="10" t="s">
        <v>1042</v>
      </c>
    </row>
    <row r="549" customFormat="false" ht="23.85" hidden="false" customHeight="false" outlineLevel="0" collapsed="false">
      <c r="A549" s="10" t="s">
        <v>2332</v>
      </c>
      <c r="B549" s="10" t="s">
        <v>2127</v>
      </c>
      <c r="C549" s="10" t="s">
        <v>45</v>
      </c>
      <c r="D549" s="10"/>
      <c r="E549" s="10"/>
      <c r="F549" s="10" t="s">
        <v>2127</v>
      </c>
      <c r="G549" s="11" t="s">
        <v>2333</v>
      </c>
      <c r="H549" s="10" t="n">
        <v>2023</v>
      </c>
      <c r="I549" s="10" t="s">
        <v>2334</v>
      </c>
      <c r="J549" s="11" t="s">
        <v>2335</v>
      </c>
      <c r="K549" s="10" t="s">
        <v>49</v>
      </c>
      <c r="L549" s="10" t="s">
        <v>2336</v>
      </c>
    </row>
    <row r="550" customFormat="false" ht="23.85" hidden="false" customHeight="false" outlineLevel="0" collapsed="false">
      <c r="A550" s="10" t="s">
        <v>2337</v>
      </c>
      <c r="B550" s="10" t="s">
        <v>2127</v>
      </c>
      <c r="C550" s="10" t="s">
        <v>45</v>
      </c>
      <c r="D550" s="10"/>
      <c r="E550" s="10"/>
      <c r="F550" s="10" t="s">
        <v>2127</v>
      </c>
      <c r="G550" s="11" t="s">
        <v>2338</v>
      </c>
      <c r="H550" s="10" t="n">
        <v>2024</v>
      </c>
      <c r="I550" s="10" t="s">
        <v>2339</v>
      </c>
      <c r="J550" s="11" t="s">
        <v>2340</v>
      </c>
      <c r="K550" s="10" t="s">
        <v>49</v>
      </c>
      <c r="L550" s="10" t="s">
        <v>2341</v>
      </c>
    </row>
    <row r="551" customFormat="false" ht="23.85" hidden="false" customHeight="false" outlineLevel="0" collapsed="false">
      <c r="A551" s="10" t="s">
        <v>2342</v>
      </c>
      <c r="B551" s="10" t="s">
        <v>2127</v>
      </c>
      <c r="C551" s="10" t="s">
        <v>45</v>
      </c>
      <c r="D551" s="10"/>
      <c r="E551" s="10"/>
      <c r="F551" s="10" t="s">
        <v>2127</v>
      </c>
      <c r="G551" s="11" t="s">
        <v>2343</v>
      </c>
      <c r="H551" s="10" t="n">
        <v>2018</v>
      </c>
      <c r="I551" s="10" t="s">
        <v>2344</v>
      </c>
      <c r="J551" s="11" t="s">
        <v>2345</v>
      </c>
      <c r="K551" s="10" t="s">
        <v>49</v>
      </c>
      <c r="L551" s="10" t="s">
        <v>2346</v>
      </c>
    </row>
    <row r="552" customFormat="false" ht="23.85" hidden="false" customHeight="false" outlineLevel="0" collapsed="false">
      <c r="A552" s="10" t="s">
        <v>2347</v>
      </c>
      <c r="B552" s="10" t="s">
        <v>2127</v>
      </c>
      <c r="C552" s="10" t="s">
        <v>408</v>
      </c>
      <c r="D552" s="10" t="s">
        <v>462</v>
      </c>
      <c r="E552" s="10" t="s">
        <v>409</v>
      </c>
      <c r="F552" s="10"/>
      <c r="G552" s="11" t="s">
        <v>463</v>
      </c>
      <c r="H552" s="10" t="n">
        <v>2026</v>
      </c>
      <c r="I552" s="10" t="s">
        <v>2348</v>
      </c>
      <c r="J552" s="11" t="s">
        <v>464</v>
      </c>
      <c r="K552" s="10" t="s">
        <v>2349</v>
      </c>
      <c r="L552" s="10" t="s">
        <v>465</v>
      </c>
    </row>
    <row r="553" customFormat="false" ht="23.85" hidden="false" customHeight="false" outlineLevel="0" collapsed="false">
      <c r="A553" s="10" t="s">
        <v>2350</v>
      </c>
      <c r="B553" s="10" t="s">
        <v>2127</v>
      </c>
      <c r="C553" s="10" t="s">
        <v>408</v>
      </c>
      <c r="D553" s="10" t="s">
        <v>51</v>
      </c>
      <c r="E553" s="10" t="s">
        <v>409</v>
      </c>
      <c r="F553" s="10"/>
      <c r="G553" s="11" t="s">
        <v>53</v>
      </c>
      <c r="H553" s="10" t="n">
        <v>2022</v>
      </c>
      <c r="I553" s="10" t="s">
        <v>2351</v>
      </c>
      <c r="J553" s="11" t="s">
        <v>2352</v>
      </c>
      <c r="K553" s="10" t="s">
        <v>49</v>
      </c>
      <c r="L553" s="10" t="s">
        <v>56</v>
      </c>
    </row>
    <row r="554" customFormat="false" ht="35.05" hidden="false" customHeight="false" outlineLevel="0" collapsed="false">
      <c r="A554" s="10" t="s">
        <v>2353</v>
      </c>
      <c r="B554" s="10" t="s">
        <v>2127</v>
      </c>
      <c r="C554" s="10" t="s">
        <v>45</v>
      </c>
      <c r="D554" s="10"/>
      <c r="E554" s="10"/>
      <c r="F554" s="10" t="s">
        <v>2127</v>
      </c>
      <c r="G554" s="11" t="s">
        <v>2354</v>
      </c>
      <c r="H554" s="10" t="n">
        <v>2025</v>
      </c>
      <c r="I554" s="10" t="s">
        <v>2355</v>
      </c>
      <c r="J554" s="11" t="s">
        <v>2246</v>
      </c>
      <c r="K554" s="10" t="s">
        <v>49</v>
      </c>
      <c r="L554" s="10" t="s">
        <v>2356</v>
      </c>
    </row>
    <row r="555" customFormat="false" ht="23.85" hidden="false" customHeight="false" outlineLevel="0" collapsed="false">
      <c r="A555" s="10" t="s">
        <v>2357</v>
      </c>
      <c r="B555" s="10" t="s">
        <v>2127</v>
      </c>
      <c r="C555" s="10" t="s">
        <v>45</v>
      </c>
      <c r="D555" s="10"/>
      <c r="E555" s="10"/>
      <c r="F555" s="10" t="s">
        <v>2127</v>
      </c>
      <c r="G555" s="11" t="s">
        <v>2358</v>
      </c>
      <c r="H555" s="10" t="n">
        <v>2022</v>
      </c>
      <c r="I555" s="10" t="s">
        <v>2218</v>
      </c>
      <c r="J555" s="11" t="s">
        <v>2359</v>
      </c>
      <c r="K555" s="10" t="s">
        <v>49</v>
      </c>
      <c r="L555" s="10" t="s">
        <v>2360</v>
      </c>
    </row>
    <row r="556" customFormat="false" ht="23.85" hidden="false" customHeight="false" outlineLevel="0" collapsed="false">
      <c r="A556" s="10" t="s">
        <v>2361</v>
      </c>
      <c r="B556" s="10" t="s">
        <v>2127</v>
      </c>
      <c r="C556" s="10" t="s">
        <v>45</v>
      </c>
      <c r="D556" s="10"/>
      <c r="E556" s="10"/>
      <c r="F556" s="10" t="s">
        <v>2127</v>
      </c>
      <c r="G556" s="11" t="s">
        <v>2362</v>
      </c>
      <c r="H556" s="10" t="n">
        <v>2025</v>
      </c>
      <c r="I556" s="10" t="s">
        <v>2363</v>
      </c>
      <c r="J556" s="11" t="s">
        <v>1467</v>
      </c>
      <c r="K556" s="10" t="s">
        <v>61</v>
      </c>
      <c r="L556" s="10" t="s">
        <v>2364</v>
      </c>
    </row>
    <row r="557" customFormat="false" ht="23.85" hidden="false" customHeight="false" outlineLevel="0" collapsed="false">
      <c r="A557" s="10" t="s">
        <v>2365</v>
      </c>
      <c r="B557" s="10" t="s">
        <v>2127</v>
      </c>
      <c r="C557" s="10" t="s">
        <v>45</v>
      </c>
      <c r="D557" s="10"/>
      <c r="E557" s="10"/>
      <c r="F557" s="10" t="s">
        <v>2127</v>
      </c>
      <c r="G557" s="11" t="s">
        <v>2366</v>
      </c>
      <c r="H557" s="10" t="n">
        <v>2024</v>
      </c>
      <c r="I557" s="10" t="s">
        <v>2367</v>
      </c>
      <c r="J557" s="11" t="s">
        <v>2368</v>
      </c>
      <c r="K557" s="10" t="s">
        <v>49</v>
      </c>
      <c r="L557" s="10" t="s">
        <v>2369</v>
      </c>
    </row>
    <row r="558" customFormat="false" ht="23.85" hidden="false" customHeight="false" outlineLevel="0" collapsed="false">
      <c r="A558" s="10" t="s">
        <v>2370</v>
      </c>
      <c r="B558" s="10" t="s">
        <v>2127</v>
      </c>
      <c r="C558" s="10" t="s">
        <v>408</v>
      </c>
      <c r="D558" s="10" t="s">
        <v>724</v>
      </c>
      <c r="E558" s="10" t="s">
        <v>409</v>
      </c>
      <c r="F558" s="10"/>
      <c r="G558" s="11" t="s">
        <v>725</v>
      </c>
      <c r="H558" s="10" t="n">
        <v>2023</v>
      </c>
      <c r="I558" s="10" t="s">
        <v>2371</v>
      </c>
      <c r="J558" s="11" t="s">
        <v>2372</v>
      </c>
      <c r="K558" s="10" t="s">
        <v>49</v>
      </c>
      <c r="L558" s="10" t="s">
        <v>728</v>
      </c>
    </row>
    <row r="559" customFormat="false" ht="35.05" hidden="false" customHeight="false" outlineLevel="0" collapsed="false">
      <c r="A559" s="10" t="s">
        <v>2373</v>
      </c>
      <c r="B559" s="10" t="s">
        <v>2127</v>
      </c>
      <c r="C559" s="10" t="s">
        <v>45</v>
      </c>
      <c r="D559" s="10"/>
      <c r="E559" s="10"/>
      <c r="F559" s="10" t="s">
        <v>2127</v>
      </c>
      <c r="G559" s="11" t="s">
        <v>2374</v>
      </c>
      <c r="H559" s="10" t="n">
        <v>2022</v>
      </c>
      <c r="I559" s="10" t="s">
        <v>2375</v>
      </c>
      <c r="J559" s="11" t="s">
        <v>2376</v>
      </c>
      <c r="K559" s="10" t="s">
        <v>49</v>
      </c>
      <c r="L559" s="10" t="s">
        <v>2377</v>
      </c>
    </row>
    <row r="560" customFormat="false" ht="23.85" hidden="false" customHeight="false" outlineLevel="0" collapsed="false">
      <c r="A560" s="10" t="s">
        <v>2378</v>
      </c>
      <c r="B560" s="10" t="s">
        <v>2127</v>
      </c>
      <c r="C560" s="10" t="s">
        <v>45</v>
      </c>
      <c r="D560" s="10"/>
      <c r="E560" s="10"/>
      <c r="F560" s="10" t="s">
        <v>2127</v>
      </c>
      <c r="G560" s="11" t="s">
        <v>2379</v>
      </c>
      <c r="H560" s="10" t="n">
        <v>2021</v>
      </c>
      <c r="I560" s="10" t="s">
        <v>2380</v>
      </c>
      <c r="J560" s="11" t="s">
        <v>2381</v>
      </c>
      <c r="K560" s="10" t="s">
        <v>49</v>
      </c>
      <c r="L560" s="10" t="s">
        <v>2382</v>
      </c>
    </row>
    <row r="561" customFormat="false" ht="23.85" hidden="false" customHeight="false" outlineLevel="0" collapsed="false">
      <c r="A561" s="10" t="s">
        <v>2383</v>
      </c>
      <c r="B561" s="10" t="s">
        <v>2127</v>
      </c>
      <c r="C561" s="10" t="s">
        <v>45</v>
      </c>
      <c r="D561" s="10"/>
      <c r="E561" s="10"/>
      <c r="F561" s="10" t="s">
        <v>2127</v>
      </c>
      <c r="G561" s="11" t="s">
        <v>2384</v>
      </c>
      <c r="H561" s="10" t="n">
        <v>2023</v>
      </c>
      <c r="I561" s="10" t="s">
        <v>2385</v>
      </c>
      <c r="J561" s="11" t="s">
        <v>2386</v>
      </c>
      <c r="K561" s="10" t="s">
        <v>61</v>
      </c>
      <c r="L561" s="10" t="s">
        <v>2387</v>
      </c>
    </row>
    <row r="562" customFormat="false" ht="35.05" hidden="false" customHeight="false" outlineLevel="0" collapsed="false">
      <c r="A562" s="10" t="s">
        <v>2388</v>
      </c>
      <c r="B562" s="10" t="s">
        <v>2127</v>
      </c>
      <c r="C562" s="10" t="s">
        <v>408</v>
      </c>
      <c r="D562" s="10" t="s">
        <v>420</v>
      </c>
      <c r="E562" s="10" t="s">
        <v>409</v>
      </c>
      <c r="F562" s="10"/>
      <c r="G562" s="11" t="s">
        <v>421</v>
      </c>
      <c r="H562" s="10" t="n">
        <v>2024</v>
      </c>
      <c r="I562" s="10" t="s">
        <v>2389</v>
      </c>
      <c r="J562" s="11" t="s">
        <v>2390</v>
      </c>
      <c r="K562" s="10" t="s">
        <v>49</v>
      </c>
      <c r="L562" s="10" t="s">
        <v>424</v>
      </c>
    </row>
    <row r="563" customFormat="false" ht="23.85" hidden="false" customHeight="false" outlineLevel="0" collapsed="false">
      <c r="A563" s="10" t="s">
        <v>2391</v>
      </c>
      <c r="B563" s="10" t="s">
        <v>2127</v>
      </c>
      <c r="C563" s="10" t="s">
        <v>45</v>
      </c>
      <c r="D563" s="10"/>
      <c r="E563" s="10"/>
      <c r="F563" s="10" t="s">
        <v>2127</v>
      </c>
      <c r="G563" s="11" t="s">
        <v>2392</v>
      </c>
      <c r="H563" s="10" t="n">
        <v>2023</v>
      </c>
      <c r="I563" s="10" t="s">
        <v>2393</v>
      </c>
      <c r="J563" s="11" t="s">
        <v>2394</v>
      </c>
      <c r="K563" s="10" t="s">
        <v>61</v>
      </c>
      <c r="L563" s="10" t="s">
        <v>2395</v>
      </c>
    </row>
    <row r="564" customFormat="false" ht="23.85" hidden="false" customHeight="false" outlineLevel="0" collapsed="false">
      <c r="A564" s="10" t="s">
        <v>2396</v>
      </c>
      <c r="B564" s="10" t="s">
        <v>2127</v>
      </c>
      <c r="C564" s="10" t="s">
        <v>45</v>
      </c>
      <c r="D564" s="10"/>
      <c r="E564" s="10"/>
      <c r="F564" s="10" t="s">
        <v>2127</v>
      </c>
      <c r="G564" s="11" t="s">
        <v>2397</v>
      </c>
      <c r="H564" s="10" t="n">
        <v>2024</v>
      </c>
      <c r="I564" s="10" t="s">
        <v>2398</v>
      </c>
      <c r="J564" s="11" t="s">
        <v>2399</v>
      </c>
      <c r="K564" s="10" t="s">
        <v>49</v>
      </c>
      <c r="L564" s="10" t="s">
        <v>2400</v>
      </c>
    </row>
    <row r="565" customFormat="false" ht="35.05" hidden="false" customHeight="false" outlineLevel="0" collapsed="false">
      <c r="A565" s="10" t="s">
        <v>2401</v>
      </c>
      <c r="B565" s="10" t="s">
        <v>2127</v>
      </c>
      <c r="C565" s="10" t="s">
        <v>45</v>
      </c>
      <c r="D565" s="10"/>
      <c r="E565" s="10"/>
      <c r="F565" s="10" t="s">
        <v>2127</v>
      </c>
      <c r="G565" s="11" t="s">
        <v>2402</v>
      </c>
      <c r="H565" s="10" t="n">
        <v>2025</v>
      </c>
      <c r="I565" s="10" t="s">
        <v>2403</v>
      </c>
      <c r="J565" s="11" t="s">
        <v>2404</v>
      </c>
      <c r="K565" s="10" t="s">
        <v>49</v>
      </c>
      <c r="L565" s="10" t="s">
        <v>2405</v>
      </c>
    </row>
    <row r="566" customFormat="false" ht="23.85" hidden="false" customHeight="false" outlineLevel="0" collapsed="false">
      <c r="A566" s="10" t="s">
        <v>2406</v>
      </c>
      <c r="B566" s="10" t="s">
        <v>2127</v>
      </c>
      <c r="C566" s="10" t="s">
        <v>408</v>
      </c>
      <c r="D566" s="10" t="s">
        <v>1702</v>
      </c>
      <c r="E566" s="10" t="s">
        <v>409</v>
      </c>
      <c r="F566" s="10"/>
      <c r="G566" s="11" t="s">
        <v>1703</v>
      </c>
      <c r="H566" s="10" t="n">
        <v>2022</v>
      </c>
      <c r="I566" s="10" t="s">
        <v>2407</v>
      </c>
      <c r="J566" s="11" t="s">
        <v>2408</v>
      </c>
      <c r="K566" s="10" t="s">
        <v>49</v>
      </c>
      <c r="L566" s="10" t="s">
        <v>1706</v>
      </c>
    </row>
    <row r="567" customFormat="false" ht="23.85" hidden="false" customHeight="false" outlineLevel="0" collapsed="false">
      <c r="A567" s="10" t="s">
        <v>2409</v>
      </c>
      <c r="B567" s="10" t="s">
        <v>2127</v>
      </c>
      <c r="C567" s="10" t="s">
        <v>45</v>
      </c>
      <c r="D567" s="10"/>
      <c r="E567" s="10"/>
      <c r="F567" s="10" t="s">
        <v>2127</v>
      </c>
      <c r="G567" s="11" t="s">
        <v>2410</v>
      </c>
      <c r="H567" s="10" t="n">
        <v>2019</v>
      </c>
      <c r="I567" s="10" t="s">
        <v>2411</v>
      </c>
      <c r="J567" s="11" t="s">
        <v>2412</v>
      </c>
      <c r="K567" s="10" t="s">
        <v>49</v>
      </c>
      <c r="L567" s="10" t="s">
        <v>2413</v>
      </c>
    </row>
    <row r="568" customFormat="false" ht="23.85" hidden="false" customHeight="false" outlineLevel="0" collapsed="false">
      <c r="A568" s="10" t="s">
        <v>2414</v>
      </c>
      <c r="B568" s="10" t="s">
        <v>2127</v>
      </c>
      <c r="C568" s="10" t="s">
        <v>408</v>
      </c>
      <c r="D568" s="10" t="s">
        <v>1970</v>
      </c>
      <c r="E568" s="10" t="s">
        <v>409</v>
      </c>
      <c r="F568" s="10"/>
      <c r="G568" s="11" t="s">
        <v>2415</v>
      </c>
      <c r="H568" s="10" t="n">
        <v>2025</v>
      </c>
      <c r="I568" s="10" t="s">
        <v>2416</v>
      </c>
      <c r="J568" s="11" t="s">
        <v>2417</v>
      </c>
      <c r="K568" s="10" t="s">
        <v>49</v>
      </c>
      <c r="L568" s="10" t="s">
        <v>1974</v>
      </c>
    </row>
    <row r="569" customFormat="false" ht="23.85" hidden="false" customHeight="false" outlineLevel="0" collapsed="false">
      <c r="A569" s="10" t="s">
        <v>2418</v>
      </c>
      <c r="B569" s="10" t="s">
        <v>2127</v>
      </c>
      <c r="C569" s="10" t="s">
        <v>2286</v>
      </c>
      <c r="D569" s="10"/>
      <c r="E569" s="10" t="s">
        <v>2419</v>
      </c>
      <c r="F569" s="10"/>
      <c r="G569" s="11" t="s">
        <v>2420</v>
      </c>
      <c r="H569" s="10" t="n">
        <v>2024</v>
      </c>
      <c r="I569" s="10" t="s">
        <v>2421</v>
      </c>
      <c r="J569" s="11" t="s">
        <v>2422</v>
      </c>
      <c r="K569" s="10" t="s">
        <v>2291</v>
      </c>
      <c r="L569" s="10"/>
    </row>
    <row r="570" customFormat="false" ht="35.05" hidden="false" customHeight="false" outlineLevel="0" collapsed="false">
      <c r="A570" s="10" t="s">
        <v>2423</v>
      </c>
      <c r="B570" s="10" t="s">
        <v>2127</v>
      </c>
      <c r="C570" s="10" t="s">
        <v>45</v>
      </c>
      <c r="D570" s="10"/>
      <c r="E570" s="10"/>
      <c r="F570" s="10" t="s">
        <v>2127</v>
      </c>
      <c r="G570" s="11" t="s">
        <v>2424</v>
      </c>
      <c r="H570" s="10" t="n">
        <v>2018</v>
      </c>
      <c r="I570" s="10" t="s">
        <v>2425</v>
      </c>
      <c r="J570" s="11" t="s">
        <v>2426</v>
      </c>
      <c r="K570" s="10" t="s">
        <v>49</v>
      </c>
      <c r="L570" s="10" t="s">
        <v>2427</v>
      </c>
    </row>
    <row r="571" customFormat="false" ht="23.85" hidden="false" customHeight="false" outlineLevel="0" collapsed="false">
      <c r="A571" s="10" t="s">
        <v>2428</v>
      </c>
      <c r="B571" s="10" t="s">
        <v>2127</v>
      </c>
      <c r="C571" s="10" t="s">
        <v>45</v>
      </c>
      <c r="D571" s="10"/>
      <c r="E571" s="10"/>
      <c r="F571" s="10" t="s">
        <v>2127</v>
      </c>
      <c r="G571" s="11" t="s">
        <v>2429</v>
      </c>
      <c r="H571" s="10" t="n">
        <v>2021</v>
      </c>
      <c r="I571" s="10" t="s">
        <v>2430</v>
      </c>
      <c r="J571" s="11" t="s">
        <v>2431</v>
      </c>
      <c r="K571" s="10" t="s">
        <v>49</v>
      </c>
      <c r="L571" s="10" t="s">
        <v>2432</v>
      </c>
    </row>
    <row r="572" customFormat="false" ht="23.85" hidden="false" customHeight="false" outlineLevel="0" collapsed="false">
      <c r="A572" s="10" t="s">
        <v>2433</v>
      </c>
      <c r="B572" s="10" t="s">
        <v>2127</v>
      </c>
      <c r="C572" s="10" t="s">
        <v>45</v>
      </c>
      <c r="D572" s="10"/>
      <c r="E572" s="10"/>
      <c r="F572" s="10" t="s">
        <v>2127</v>
      </c>
      <c r="G572" s="11" t="s">
        <v>2434</v>
      </c>
      <c r="H572" s="10" t="n">
        <v>2023</v>
      </c>
      <c r="I572" s="10" t="s">
        <v>2435</v>
      </c>
      <c r="J572" s="11" t="s">
        <v>2436</v>
      </c>
      <c r="K572" s="10" t="s">
        <v>49</v>
      </c>
      <c r="L572" s="10" t="s">
        <v>2437</v>
      </c>
    </row>
    <row r="573" customFormat="false" ht="23.85" hidden="false" customHeight="false" outlineLevel="0" collapsed="false">
      <c r="A573" s="10" t="s">
        <v>2438</v>
      </c>
      <c r="B573" s="10" t="s">
        <v>2127</v>
      </c>
      <c r="C573" s="10" t="s">
        <v>45</v>
      </c>
      <c r="D573" s="10"/>
      <c r="E573" s="10"/>
      <c r="F573" s="10" t="s">
        <v>2127</v>
      </c>
      <c r="G573" s="11" t="s">
        <v>2439</v>
      </c>
      <c r="H573" s="10" t="n">
        <v>2022</v>
      </c>
      <c r="I573" s="10" t="s">
        <v>2440</v>
      </c>
      <c r="J573" s="11" t="s">
        <v>2441</v>
      </c>
      <c r="K573" s="10" t="s">
        <v>49</v>
      </c>
      <c r="L573" s="10" t="s">
        <v>2442</v>
      </c>
    </row>
    <row r="574" customFormat="false" ht="15" hidden="false" customHeight="false" outlineLevel="0" collapsed="false">
      <c r="A574" s="10" t="s">
        <v>2443</v>
      </c>
      <c r="B574" s="10" t="s">
        <v>2127</v>
      </c>
      <c r="C574" s="10" t="s">
        <v>45</v>
      </c>
      <c r="D574" s="10"/>
      <c r="E574" s="10"/>
      <c r="F574" s="10" t="s">
        <v>2127</v>
      </c>
      <c r="G574" s="11" t="s">
        <v>2444</v>
      </c>
      <c r="H574" s="10" t="n">
        <v>2024</v>
      </c>
      <c r="I574" s="10" t="s">
        <v>2445</v>
      </c>
      <c r="J574" s="11" t="s">
        <v>1058</v>
      </c>
      <c r="K574" s="10" t="s">
        <v>61</v>
      </c>
      <c r="L574" s="10" t="s">
        <v>2446</v>
      </c>
    </row>
    <row r="575" customFormat="false" ht="23.85" hidden="false" customHeight="false" outlineLevel="0" collapsed="false">
      <c r="A575" s="10" t="s">
        <v>2447</v>
      </c>
      <c r="B575" s="10" t="s">
        <v>2127</v>
      </c>
      <c r="C575" s="10" t="s">
        <v>45</v>
      </c>
      <c r="D575" s="10"/>
      <c r="E575" s="10"/>
      <c r="F575" s="10" t="s">
        <v>2127</v>
      </c>
      <c r="G575" s="11" t="s">
        <v>2448</v>
      </c>
      <c r="H575" s="10" t="n">
        <v>2020</v>
      </c>
      <c r="I575" s="10" t="s">
        <v>2449</v>
      </c>
      <c r="J575" s="11" t="s">
        <v>2450</v>
      </c>
      <c r="K575" s="10" t="s">
        <v>49</v>
      </c>
      <c r="L575" s="10" t="s">
        <v>2451</v>
      </c>
    </row>
    <row r="576" customFormat="false" ht="23.85" hidden="false" customHeight="false" outlineLevel="0" collapsed="false">
      <c r="A576" s="10" t="s">
        <v>2452</v>
      </c>
      <c r="B576" s="10" t="s">
        <v>2127</v>
      </c>
      <c r="C576" s="10" t="s">
        <v>408</v>
      </c>
      <c r="D576" s="10" t="s">
        <v>767</v>
      </c>
      <c r="E576" s="10" t="s">
        <v>409</v>
      </c>
      <c r="F576" s="10"/>
      <c r="G576" s="11" t="s">
        <v>768</v>
      </c>
      <c r="H576" s="10" t="n">
        <v>2025</v>
      </c>
      <c r="I576" s="10" t="s">
        <v>2375</v>
      </c>
      <c r="J576" s="11" t="s">
        <v>2453</v>
      </c>
      <c r="K576" s="10" t="s">
        <v>49</v>
      </c>
      <c r="L576" s="10" t="s">
        <v>770</v>
      </c>
    </row>
    <row r="577" customFormat="false" ht="35.05" hidden="false" customHeight="false" outlineLevel="0" collapsed="false">
      <c r="A577" s="10" t="s">
        <v>2454</v>
      </c>
      <c r="B577" s="10" t="s">
        <v>2127</v>
      </c>
      <c r="C577" s="10" t="s">
        <v>45</v>
      </c>
      <c r="D577" s="10"/>
      <c r="E577" s="10"/>
      <c r="F577" s="10" t="s">
        <v>2127</v>
      </c>
      <c r="G577" s="11" t="s">
        <v>2455</v>
      </c>
      <c r="H577" s="10" t="n">
        <v>2024</v>
      </c>
      <c r="I577" s="10" t="s">
        <v>2456</v>
      </c>
      <c r="J577" s="11" t="s">
        <v>2457</v>
      </c>
      <c r="K577" s="10" t="s">
        <v>49</v>
      </c>
      <c r="L577" s="10" t="s">
        <v>2458</v>
      </c>
    </row>
    <row r="578" customFormat="false" ht="23.85" hidden="false" customHeight="false" outlineLevel="0" collapsed="false">
      <c r="A578" s="10" t="s">
        <v>2459</v>
      </c>
      <c r="B578" s="10" t="s">
        <v>2127</v>
      </c>
      <c r="C578" s="10" t="s">
        <v>45</v>
      </c>
      <c r="D578" s="10"/>
      <c r="E578" s="10"/>
      <c r="F578" s="10" t="s">
        <v>2127</v>
      </c>
      <c r="G578" s="11" t="s">
        <v>2460</v>
      </c>
      <c r="H578" s="10" t="n">
        <v>2025</v>
      </c>
      <c r="I578" s="10" t="s">
        <v>2461</v>
      </c>
      <c r="J578" s="11" t="s">
        <v>2462</v>
      </c>
      <c r="K578" s="10" t="s">
        <v>49</v>
      </c>
      <c r="L578" s="10" t="s">
        <v>2463</v>
      </c>
    </row>
    <row r="579" customFormat="false" ht="23.85" hidden="false" customHeight="false" outlineLevel="0" collapsed="false">
      <c r="A579" s="10" t="s">
        <v>2464</v>
      </c>
      <c r="B579" s="10" t="s">
        <v>2127</v>
      </c>
      <c r="C579" s="10" t="s">
        <v>45</v>
      </c>
      <c r="D579" s="10"/>
      <c r="E579" s="10"/>
      <c r="F579" s="10" t="s">
        <v>2127</v>
      </c>
      <c r="G579" s="11" t="s">
        <v>2465</v>
      </c>
      <c r="H579" s="10" t="n">
        <v>2019</v>
      </c>
      <c r="I579" s="10" t="s">
        <v>2466</v>
      </c>
      <c r="J579" s="11" t="s">
        <v>2467</v>
      </c>
      <c r="K579" s="10" t="s">
        <v>49</v>
      </c>
      <c r="L579" s="10" t="s">
        <v>2468</v>
      </c>
    </row>
    <row r="580" customFormat="false" ht="23.85" hidden="false" customHeight="false" outlineLevel="0" collapsed="false">
      <c r="A580" s="10" t="s">
        <v>2469</v>
      </c>
      <c r="B580" s="10" t="s">
        <v>2127</v>
      </c>
      <c r="C580" s="10" t="s">
        <v>45</v>
      </c>
      <c r="D580" s="10"/>
      <c r="E580" s="10"/>
      <c r="F580" s="10" t="s">
        <v>2127</v>
      </c>
      <c r="G580" s="11" t="s">
        <v>2470</v>
      </c>
      <c r="H580" s="10" t="n">
        <v>2026</v>
      </c>
      <c r="I580" s="10" t="s">
        <v>2471</v>
      </c>
      <c r="J580" s="11" t="s">
        <v>2472</v>
      </c>
      <c r="K580" s="10" t="s">
        <v>61</v>
      </c>
      <c r="L580" s="10" t="s">
        <v>2473</v>
      </c>
    </row>
    <row r="581" customFormat="false" ht="23.85" hidden="false" customHeight="false" outlineLevel="0" collapsed="false">
      <c r="A581" s="10" t="s">
        <v>2474</v>
      </c>
      <c r="B581" s="10" t="s">
        <v>2127</v>
      </c>
      <c r="C581" s="10" t="s">
        <v>45</v>
      </c>
      <c r="D581" s="10"/>
      <c r="E581" s="10"/>
      <c r="F581" s="10" t="s">
        <v>2127</v>
      </c>
      <c r="G581" s="11" t="s">
        <v>2475</v>
      </c>
      <c r="H581" s="10" t="n">
        <v>2026</v>
      </c>
      <c r="I581" s="10" t="s">
        <v>2159</v>
      </c>
      <c r="J581" s="11" t="s">
        <v>464</v>
      </c>
      <c r="K581" s="10" t="s">
        <v>61</v>
      </c>
      <c r="L581" s="10" t="s">
        <v>2476</v>
      </c>
    </row>
    <row r="582" customFormat="false" ht="23.85" hidden="false" customHeight="false" outlineLevel="0" collapsed="false">
      <c r="A582" s="10" t="s">
        <v>2477</v>
      </c>
      <c r="B582" s="10" t="s">
        <v>2127</v>
      </c>
      <c r="C582" s="10" t="s">
        <v>45</v>
      </c>
      <c r="D582" s="10"/>
      <c r="E582" s="10"/>
      <c r="F582" s="10" t="s">
        <v>2127</v>
      </c>
      <c r="G582" s="11" t="s">
        <v>2478</v>
      </c>
      <c r="H582" s="10" t="n">
        <v>2025</v>
      </c>
      <c r="I582" s="10" t="s">
        <v>2479</v>
      </c>
      <c r="J582" s="11" t="s">
        <v>2480</v>
      </c>
      <c r="K582" s="10" t="s">
        <v>49</v>
      </c>
      <c r="L582" s="10" t="s">
        <v>2481</v>
      </c>
    </row>
    <row r="583" customFormat="false" ht="15" hidden="false" customHeight="false" outlineLevel="0" collapsed="false">
      <c r="A583" s="10" t="s">
        <v>2482</v>
      </c>
      <c r="B583" s="10" t="s">
        <v>2127</v>
      </c>
      <c r="C583" s="10" t="s">
        <v>45</v>
      </c>
      <c r="D583" s="10"/>
      <c r="E583" s="10"/>
      <c r="F583" s="10" t="s">
        <v>2127</v>
      </c>
      <c r="G583" s="11" t="s">
        <v>2483</v>
      </c>
      <c r="H583" s="10" t="n">
        <v>2022</v>
      </c>
      <c r="I583" s="10" t="s">
        <v>2484</v>
      </c>
      <c r="J583" s="11" t="s">
        <v>349</v>
      </c>
      <c r="K583" s="10" t="s">
        <v>61</v>
      </c>
      <c r="L583" s="10" t="s">
        <v>2485</v>
      </c>
    </row>
    <row r="584" customFormat="false" ht="15" hidden="false" customHeight="false" outlineLevel="0" collapsed="false">
      <c r="A584" s="10" t="s">
        <v>2486</v>
      </c>
      <c r="B584" s="10" t="s">
        <v>2127</v>
      </c>
      <c r="C584" s="10" t="s">
        <v>45</v>
      </c>
      <c r="D584" s="10"/>
      <c r="E584" s="10"/>
      <c r="F584" s="10" t="s">
        <v>2127</v>
      </c>
      <c r="G584" s="11" t="s">
        <v>2487</v>
      </c>
      <c r="H584" s="10" t="n">
        <v>2025</v>
      </c>
      <c r="I584" s="10"/>
      <c r="J584" s="11" t="s">
        <v>2488</v>
      </c>
      <c r="K584" s="10" t="s">
        <v>49</v>
      </c>
      <c r="L584" s="10" t="s">
        <v>2489</v>
      </c>
    </row>
    <row r="585" customFormat="false" ht="23.85" hidden="false" customHeight="false" outlineLevel="0" collapsed="false">
      <c r="A585" s="10" t="s">
        <v>2490</v>
      </c>
      <c r="B585" s="10" t="s">
        <v>2127</v>
      </c>
      <c r="C585" s="10" t="s">
        <v>45</v>
      </c>
      <c r="D585" s="10"/>
      <c r="E585" s="10"/>
      <c r="F585" s="10" t="s">
        <v>2127</v>
      </c>
      <c r="G585" s="11" t="s">
        <v>2491</v>
      </c>
      <c r="H585" s="10" t="n">
        <v>2025</v>
      </c>
      <c r="I585" s="10" t="s">
        <v>2492</v>
      </c>
      <c r="J585" s="11" t="s">
        <v>1041</v>
      </c>
      <c r="K585" s="10" t="s">
        <v>61</v>
      </c>
      <c r="L585" s="10" t="s">
        <v>2493</v>
      </c>
    </row>
    <row r="586" customFormat="false" ht="23.85" hidden="false" customHeight="false" outlineLevel="0" collapsed="false">
      <c r="A586" s="10" t="s">
        <v>2494</v>
      </c>
      <c r="B586" s="10" t="s">
        <v>2127</v>
      </c>
      <c r="C586" s="10" t="s">
        <v>408</v>
      </c>
      <c r="D586" s="10" t="s">
        <v>1666</v>
      </c>
      <c r="E586" s="10" t="s">
        <v>409</v>
      </c>
      <c r="F586" s="10"/>
      <c r="G586" s="11" t="s">
        <v>1667</v>
      </c>
      <c r="H586" s="10" t="n">
        <v>2025</v>
      </c>
      <c r="I586" s="10" t="s">
        <v>2495</v>
      </c>
      <c r="J586" s="11" t="s">
        <v>2496</v>
      </c>
      <c r="K586" s="10" t="s">
        <v>49</v>
      </c>
      <c r="L586" s="10" t="s">
        <v>1670</v>
      </c>
    </row>
    <row r="587" customFormat="false" ht="23.85" hidden="false" customHeight="false" outlineLevel="0" collapsed="false">
      <c r="A587" s="10" t="s">
        <v>2497</v>
      </c>
      <c r="B587" s="10" t="s">
        <v>2127</v>
      </c>
      <c r="C587" s="10" t="s">
        <v>45</v>
      </c>
      <c r="D587" s="10"/>
      <c r="E587" s="10"/>
      <c r="F587" s="10" t="s">
        <v>2127</v>
      </c>
      <c r="G587" s="11" t="s">
        <v>2498</v>
      </c>
      <c r="H587" s="10" t="n">
        <v>2018</v>
      </c>
      <c r="I587" s="10" t="s">
        <v>2499</v>
      </c>
      <c r="J587" s="11" t="s">
        <v>2500</v>
      </c>
      <c r="K587" s="10" t="s">
        <v>49</v>
      </c>
      <c r="L587" s="10" t="s">
        <v>2501</v>
      </c>
    </row>
    <row r="588" customFormat="false" ht="35.05" hidden="false" customHeight="false" outlineLevel="0" collapsed="false">
      <c r="A588" s="10" t="s">
        <v>2502</v>
      </c>
      <c r="B588" s="10" t="s">
        <v>2127</v>
      </c>
      <c r="C588" s="10" t="s">
        <v>45</v>
      </c>
      <c r="D588" s="10"/>
      <c r="E588" s="10"/>
      <c r="F588" s="10" t="s">
        <v>2127</v>
      </c>
      <c r="G588" s="11" t="s">
        <v>2503</v>
      </c>
      <c r="H588" s="10" t="n">
        <v>2026</v>
      </c>
      <c r="I588" s="10" t="s">
        <v>2504</v>
      </c>
      <c r="J588" s="11" t="s">
        <v>2194</v>
      </c>
      <c r="K588" s="10" t="s">
        <v>49</v>
      </c>
      <c r="L588" s="10" t="s">
        <v>2505</v>
      </c>
    </row>
    <row r="589" customFormat="false" ht="23.85" hidden="false" customHeight="false" outlineLevel="0" collapsed="false">
      <c r="A589" s="10" t="s">
        <v>2506</v>
      </c>
      <c r="B589" s="10" t="s">
        <v>2127</v>
      </c>
      <c r="C589" s="10" t="s">
        <v>45</v>
      </c>
      <c r="D589" s="10"/>
      <c r="E589" s="10"/>
      <c r="F589" s="10" t="s">
        <v>2127</v>
      </c>
      <c r="G589" s="11" t="s">
        <v>2507</v>
      </c>
      <c r="H589" s="10" t="n">
        <v>2021</v>
      </c>
      <c r="I589" s="10" t="s">
        <v>2508</v>
      </c>
      <c r="J589" s="11" t="s">
        <v>1041</v>
      </c>
      <c r="K589" s="10" t="s">
        <v>61</v>
      </c>
      <c r="L589" s="10" t="s">
        <v>2509</v>
      </c>
    </row>
    <row r="590" customFormat="false" ht="23.85" hidden="false" customHeight="false" outlineLevel="0" collapsed="false">
      <c r="A590" s="10" t="s">
        <v>2510</v>
      </c>
      <c r="B590" s="10" t="s">
        <v>2127</v>
      </c>
      <c r="C590" s="10" t="s">
        <v>45</v>
      </c>
      <c r="D590" s="10"/>
      <c r="E590" s="10"/>
      <c r="F590" s="10" t="s">
        <v>2127</v>
      </c>
      <c r="G590" s="11" t="s">
        <v>2511</v>
      </c>
      <c r="H590" s="10" t="n">
        <v>2023</v>
      </c>
      <c r="I590" s="10" t="s">
        <v>2512</v>
      </c>
      <c r="J590" s="11" t="s">
        <v>1041</v>
      </c>
      <c r="K590" s="10" t="s">
        <v>61</v>
      </c>
      <c r="L590" s="10" t="s">
        <v>2513</v>
      </c>
    </row>
    <row r="591" customFormat="false" ht="35.05" hidden="false" customHeight="false" outlineLevel="0" collapsed="false">
      <c r="A591" s="10" t="s">
        <v>2514</v>
      </c>
      <c r="B591" s="10" t="s">
        <v>2127</v>
      </c>
      <c r="C591" s="10" t="s">
        <v>45</v>
      </c>
      <c r="D591" s="10"/>
      <c r="E591" s="10"/>
      <c r="F591" s="10" t="s">
        <v>2127</v>
      </c>
      <c r="G591" s="11" t="s">
        <v>2515</v>
      </c>
      <c r="H591" s="10" t="n">
        <v>2024</v>
      </c>
      <c r="I591" s="10" t="s">
        <v>2516</v>
      </c>
      <c r="J591" s="11" t="s">
        <v>2517</v>
      </c>
      <c r="K591" s="10" t="s">
        <v>49</v>
      </c>
      <c r="L591" s="10" t="s">
        <v>2518</v>
      </c>
    </row>
    <row r="592" customFormat="false" ht="23.85" hidden="false" customHeight="false" outlineLevel="0" collapsed="false">
      <c r="A592" s="10" t="s">
        <v>2519</v>
      </c>
      <c r="B592" s="10" t="s">
        <v>2127</v>
      </c>
      <c r="C592" s="10" t="s">
        <v>45</v>
      </c>
      <c r="D592" s="10"/>
      <c r="E592" s="10"/>
      <c r="F592" s="10" t="s">
        <v>2127</v>
      </c>
      <c r="G592" s="11" t="s">
        <v>2520</v>
      </c>
      <c r="H592" s="10" t="n">
        <v>2026</v>
      </c>
      <c r="I592" s="10" t="s">
        <v>2479</v>
      </c>
      <c r="J592" s="11" t="s">
        <v>2521</v>
      </c>
      <c r="K592" s="10" t="s">
        <v>49</v>
      </c>
      <c r="L592" s="10" t="s">
        <v>2522</v>
      </c>
    </row>
    <row r="593" customFormat="false" ht="23.85" hidden="false" customHeight="false" outlineLevel="0" collapsed="false">
      <c r="A593" s="10" t="s">
        <v>2523</v>
      </c>
      <c r="B593" s="10" t="s">
        <v>2127</v>
      </c>
      <c r="C593" s="10" t="s">
        <v>45</v>
      </c>
      <c r="D593" s="10"/>
      <c r="E593" s="10"/>
      <c r="F593" s="10" t="s">
        <v>2127</v>
      </c>
      <c r="G593" s="11" t="s">
        <v>2524</v>
      </c>
      <c r="H593" s="10" t="n">
        <v>2021</v>
      </c>
      <c r="I593" s="10" t="s">
        <v>2525</v>
      </c>
      <c r="J593" s="11" t="s">
        <v>2526</v>
      </c>
      <c r="K593" s="10" t="s">
        <v>49</v>
      </c>
      <c r="L593" s="10" t="s">
        <v>2527</v>
      </c>
    </row>
    <row r="594" customFormat="false" ht="35.05" hidden="false" customHeight="false" outlineLevel="0" collapsed="false">
      <c r="A594" s="10" t="s">
        <v>2528</v>
      </c>
      <c r="B594" s="10" t="s">
        <v>2127</v>
      </c>
      <c r="C594" s="10" t="s">
        <v>45</v>
      </c>
      <c r="D594" s="10"/>
      <c r="E594" s="10"/>
      <c r="F594" s="10" t="s">
        <v>2127</v>
      </c>
      <c r="G594" s="11" t="s">
        <v>2529</v>
      </c>
      <c r="H594" s="10" t="n">
        <v>2021</v>
      </c>
      <c r="I594" s="10" t="s">
        <v>2530</v>
      </c>
      <c r="J594" s="11" t="s">
        <v>2531</v>
      </c>
      <c r="K594" s="10" t="s">
        <v>49</v>
      </c>
      <c r="L594" s="10"/>
    </row>
    <row r="595" customFormat="false" ht="23.85" hidden="false" customHeight="false" outlineLevel="0" collapsed="false">
      <c r="A595" s="10" t="s">
        <v>2532</v>
      </c>
      <c r="B595" s="10" t="s">
        <v>2127</v>
      </c>
      <c r="C595" s="10" t="s">
        <v>2286</v>
      </c>
      <c r="D595" s="10"/>
      <c r="E595" s="10" t="s">
        <v>2533</v>
      </c>
      <c r="F595" s="10"/>
      <c r="G595" s="11" t="s">
        <v>2534</v>
      </c>
      <c r="H595" s="10" t="n">
        <v>2024</v>
      </c>
      <c r="I595" s="10" t="s">
        <v>2535</v>
      </c>
      <c r="J595" s="11" t="s">
        <v>2536</v>
      </c>
      <c r="K595" s="10" t="s">
        <v>2291</v>
      </c>
      <c r="L595" s="10" t="s">
        <v>2537</v>
      </c>
    </row>
    <row r="596" customFormat="false" ht="23.85" hidden="false" customHeight="false" outlineLevel="0" collapsed="false">
      <c r="A596" s="10" t="s">
        <v>2538</v>
      </c>
      <c r="B596" s="10" t="s">
        <v>2127</v>
      </c>
      <c r="C596" s="10" t="s">
        <v>45</v>
      </c>
      <c r="D596" s="10"/>
      <c r="E596" s="10"/>
      <c r="F596" s="10" t="s">
        <v>2127</v>
      </c>
      <c r="G596" s="11" t="s">
        <v>2539</v>
      </c>
      <c r="H596" s="10" t="n">
        <v>2022</v>
      </c>
      <c r="I596" s="10" t="s">
        <v>2540</v>
      </c>
      <c r="J596" s="11" t="s">
        <v>2541</v>
      </c>
      <c r="K596" s="10" t="s">
        <v>49</v>
      </c>
      <c r="L596" s="10" t="s">
        <v>2542</v>
      </c>
    </row>
    <row r="597" customFormat="false" ht="35.05" hidden="false" customHeight="false" outlineLevel="0" collapsed="false">
      <c r="A597" s="10" t="s">
        <v>2543</v>
      </c>
      <c r="B597" s="10" t="s">
        <v>2127</v>
      </c>
      <c r="C597" s="10" t="s">
        <v>408</v>
      </c>
      <c r="D597" s="10" t="s">
        <v>706</v>
      </c>
      <c r="E597" s="10" t="s">
        <v>409</v>
      </c>
      <c r="F597" s="10"/>
      <c r="G597" s="11" t="s">
        <v>707</v>
      </c>
      <c r="H597" s="10" t="n">
        <v>2024</v>
      </c>
      <c r="I597" s="10" t="s">
        <v>2544</v>
      </c>
      <c r="J597" s="11" t="s">
        <v>2545</v>
      </c>
      <c r="K597" s="10" t="s">
        <v>49</v>
      </c>
      <c r="L597" s="10" t="s">
        <v>710</v>
      </c>
    </row>
    <row r="598" customFormat="false" ht="23.85" hidden="false" customHeight="false" outlineLevel="0" collapsed="false">
      <c r="A598" s="10" t="s">
        <v>2546</v>
      </c>
      <c r="B598" s="10" t="s">
        <v>2127</v>
      </c>
      <c r="C598" s="10" t="s">
        <v>45</v>
      </c>
      <c r="D598" s="10"/>
      <c r="E598" s="10"/>
      <c r="F598" s="10" t="s">
        <v>2127</v>
      </c>
      <c r="G598" s="11" t="s">
        <v>2547</v>
      </c>
      <c r="H598" s="10" t="n">
        <v>2020</v>
      </c>
      <c r="I598" s="10" t="s">
        <v>2548</v>
      </c>
      <c r="J598" s="11" t="s">
        <v>2549</v>
      </c>
      <c r="K598" s="10" t="s">
        <v>49</v>
      </c>
      <c r="L598" s="10" t="s">
        <v>2550</v>
      </c>
    </row>
    <row r="599" customFormat="false" ht="23.85" hidden="false" customHeight="false" outlineLevel="0" collapsed="false">
      <c r="A599" s="10" t="s">
        <v>2551</v>
      </c>
      <c r="B599" s="10" t="s">
        <v>2127</v>
      </c>
      <c r="C599" s="10" t="s">
        <v>45</v>
      </c>
      <c r="D599" s="10"/>
      <c r="E599" s="10"/>
      <c r="F599" s="10" t="s">
        <v>2127</v>
      </c>
      <c r="G599" s="11" t="s">
        <v>2552</v>
      </c>
      <c r="H599" s="10" t="n">
        <v>2024</v>
      </c>
      <c r="I599" s="10" t="s">
        <v>2553</v>
      </c>
      <c r="J599" s="11" t="s">
        <v>2554</v>
      </c>
      <c r="K599" s="10" t="s">
        <v>61</v>
      </c>
      <c r="L599" s="10" t="s">
        <v>2555</v>
      </c>
    </row>
    <row r="600" customFormat="false" ht="23.85" hidden="false" customHeight="false" outlineLevel="0" collapsed="false">
      <c r="A600" s="10" t="s">
        <v>2556</v>
      </c>
      <c r="B600" s="10" t="s">
        <v>2127</v>
      </c>
      <c r="C600" s="10" t="s">
        <v>2286</v>
      </c>
      <c r="D600" s="10"/>
      <c r="E600" s="10" t="s">
        <v>2533</v>
      </c>
      <c r="F600" s="10"/>
      <c r="G600" s="11" t="s">
        <v>2557</v>
      </c>
      <c r="H600" s="10" t="n">
        <v>2024</v>
      </c>
      <c r="I600" s="10" t="s">
        <v>2558</v>
      </c>
      <c r="J600" s="11" t="s">
        <v>2536</v>
      </c>
      <c r="K600" s="10" t="s">
        <v>2291</v>
      </c>
      <c r="L600" s="10" t="s">
        <v>2559</v>
      </c>
    </row>
    <row r="601" customFormat="false" ht="35.05" hidden="false" customHeight="false" outlineLevel="0" collapsed="false">
      <c r="A601" s="10" t="s">
        <v>2560</v>
      </c>
      <c r="B601" s="10" t="s">
        <v>2127</v>
      </c>
      <c r="C601" s="10" t="s">
        <v>408</v>
      </c>
      <c r="D601" s="10" t="s">
        <v>1134</v>
      </c>
      <c r="E601" s="10" t="s">
        <v>409</v>
      </c>
      <c r="F601" s="10"/>
      <c r="G601" s="11" t="s">
        <v>1135</v>
      </c>
      <c r="H601" s="10" t="n">
        <v>2023</v>
      </c>
      <c r="I601" s="10" t="s">
        <v>2561</v>
      </c>
      <c r="J601" s="11" t="s">
        <v>2562</v>
      </c>
      <c r="K601" s="10" t="s">
        <v>49</v>
      </c>
      <c r="L601" s="10" t="s">
        <v>1138</v>
      </c>
    </row>
    <row r="602" customFormat="false" ht="23.85" hidden="false" customHeight="false" outlineLevel="0" collapsed="false">
      <c r="A602" s="10" t="s">
        <v>2563</v>
      </c>
      <c r="B602" s="10" t="s">
        <v>2127</v>
      </c>
      <c r="C602" s="10" t="s">
        <v>45</v>
      </c>
      <c r="D602" s="10"/>
      <c r="E602" s="10"/>
      <c r="F602" s="10" t="s">
        <v>2127</v>
      </c>
      <c r="G602" s="11" t="s">
        <v>2564</v>
      </c>
      <c r="H602" s="10" t="n">
        <v>2026</v>
      </c>
      <c r="I602" s="10" t="s">
        <v>2565</v>
      </c>
      <c r="J602" s="11" t="s">
        <v>2566</v>
      </c>
      <c r="K602" s="10" t="s">
        <v>61</v>
      </c>
      <c r="L602" s="10" t="s">
        <v>2567</v>
      </c>
    </row>
    <row r="603" customFormat="false" ht="23.85" hidden="false" customHeight="false" outlineLevel="0" collapsed="false">
      <c r="A603" s="10" t="s">
        <v>2568</v>
      </c>
      <c r="B603" s="10" t="s">
        <v>2127</v>
      </c>
      <c r="C603" s="10" t="s">
        <v>45</v>
      </c>
      <c r="D603" s="10"/>
      <c r="E603" s="10"/>
      <c r="F603" s="10" t="s">
        <v>2127</v>
      </c>
      <c r="G603" s="11" t="s">
        <v>2569</v>
      </c>
      <c r="H603" s="10" t="n">
        <v>2019</v>
      </c>
      <c r="I603" s="10" t="s">
        <v>2570</v>
      </c>
      <c r="J603" s="11" t="s">
        <v>2571</v>
      </c>
      <c r="K603" s="10" t="s">
        <v>49</v>
      </c>
      <c r="L603" s="10" t="s">
        <v>2572</v>
      </c>
    </row>
    <row r="604" customFormat="false" ht="23.85" hidden="false" customHeight="false" outlineLevel="0" collapsed="false">
      <c r="A604" s="10" t="s">
        <v>2573</v>
      </c>
      <c r="B604" s="10" t="s">
        <v>2127</v>
      </c>
      <c r="C604" s="10" t="s">
        <v>45</v>
      </c>
      <c r="D604" s="10"/>
      <c r="E604" s="10"/>
      <c r="F604" s="10" t="s">
        <v>2127</v>
      </c>
      <c r="G604" s="11" t="s">
        <v>2574</v>
      </c>
      <c r="H604" s="10" t="n">
        <v>2026</v>
      </c>
      <c r="I604" s="10" t="s">
        <v>2575</v>
      </c>
      <c r="J604" s="11" t="s">
        <v>2576</v>
      </c>
      <c r="K604" s="10" t="s">
        <v>49</v>
      </c>
      <c r="L604" s="10" t="s">
        <v>2577</v>
      </c>
    </row>
    <row r="605" customFormat="false" ht="23.85" hidden="false" customHeight="false" outlineLevel="0" collapsed="false">
      <c r="A605" s="10" t="s">
        <v>2578</v>
      </c>
      <c r="B605" s="10" t="s">
        <v>2127</v>
      </c>
      <c r="C605" s="10" t="s">
        <v>45</v>
      </c>
      <c r="D605" s="10"/>
      <c r="E605" s="10"/>
      <c r="F605" s="10" t="s">
        <v>2127</v>
      </c>
      <c r="G605" s="11" t="s">
        <v>2579</v>
      </c>
      <c r="H605" s="10" t="n">
        <v>2026</v>
      </c>
      <c r="I605" s="10" t="s">
        <v>2580</v>
      </c>
      <c r="J605" s="11" t="s">
        <v>1041</v>
      </c>
      <c r="K605" s="10" t="s">
        <v>61</v>
      </c>
      <c r="L605" s="10" t="s">
        <v>2581</v>
      </c>
    </row>
    <row r="606" customFormat="false" ht="23.85" hidden="false" customHeight="false" outlineLevel="0" collapsed="false">
      <c r="A606" s="10" t="s">
        <v>2582</v>
      </c>
      <c r="B606" s="10" t="s">
        <v>2127</v>
      </c>
      <c r="C606" s="10" t="s">
        <v>45</v>
      </c>
      <c r="D606" s="10"/>
      <c r="E606" s="10"/>
      <c r="F606" s="10" t="s">
        <v>2127</v>
      </c>
      <c r="G606" s="11" t="s">
        <v>2583</v>
      </c>
      <c r="H606" s="10" t="n">
        <v>2024</v>
      </c>
      <c r="I606" s="10" t="s">
        <v>2584</v>
      </c>
      <c r="J606" s="11" t="s">
        <v>2585</v>
      </c>
      <c r="K606" s="10" t="s">
        <v>49</v>
      </c>
      <c r="L606" s="10" t="s">
        <v>2586</v>
      </c>
    </row>
    <row r="607" customFormat="false" ht="23.85" hidden="false" customHeight="false" outlineLevel="0" collapsed="false">
      <c r="A607" s="10" t="s">
        <v>2587</v>
      </c>
      <c r="B607" s="10" t="s">
        <v>2127</v>
      </c>
      <c r="C607" s="10" t="s">
        <v>2286</v>
      </c>
      <c r="D607" s="10"/>
      <c r="E607" s="10" t="s">
        <v>2588</v>
      </c>
      <c r="F607" s="10"/>
      <c r="G607" s="11" t="s">
        <v>2589</v>
      </c>
      <c r="H607" s="10" t="n">
        <v>2022</v>
      </c>
      <c r="I607" s="10" t="s">
        <v>2590</v>
      </c>
      <c r="J607" s="11" t="s">
        <v>2591</v>
      </c>
      <c r="K607" s="10" t="s">
        <v>2291</v>
      </c>
      <c r="L607" s="10"/>
    </row>
    <row r="608" customFormat="false" ht="35.05" hidden="false" customHeight="false" outlineLevel="0" collapsed="false">
      <c r="A608" s="10" t="s">
        <v>2592</v>
      </c>
      <c r="B608" s="10" t="s">
        <v>2127</v>
      </c>
      <c r="C608" s="10" t="s">
        <v>45</v>
      </c>
      <c r="D608" s="10"/>
      <c r="E608" s="10"/>
      <c r="F608" s="10" t="s">
        <v>2127</v>
      </c>
      <c r="G608" s="11" t="s">
        <v>2593</v>
      </c>
      <c r="H608" s="10" t="n">
        <v>2022</v>
      </c>
      <c r="I608" s="10" t="s">
        <v>2594</v>
      </c>
      <c r="J608" s="11" t="s">
        <v>2595</v>
      </c>
      <c r="K608" s="10" t="s">
        <v>49</v>
      </c>
      <c r="L608" s="10" t="s">
        <v>2596</v>
      </c>
    </row>
    <row r="609" customFormat="false" ht="23.85" hidden="false" customHeight="false" outlineLevel="0" collapsed="false">
      <c r="A609" s="10" t="s">
        <v>2597</v>
      </c>
      <c r="B609" s="10" t="s">
        <v>2127</v>
      </c>
      <c r="C609" s="10" t="s">
        <v>408</v>
      </c>
      <c r="D609" s="10" t="s">
        <v>1733</v>
      </c>
      <c r="E609" s="10" t="s">
        <v>409</v>
      </c>
      <c r="F609" s="10"/>
      <c r="G609" s="11" t="s">
        <v>1734</v>
      </c>
      <c r="H609" s="10" t="n">
        <v>2025</v>
      </c>
      <c r="I609" s="10" t="s">
        <v>2598</v>
      </c>
      <c r="J609" s="11" t="s">
        <v>2599</v>
      </c>
      <c r="K609" s="10" t="s">
        <v>49</v>
      </c>
      <c r="L609" s="10" t="s">
        <v>1737</v>
      </c>
    </row>
    <row r="610" customFormat="false" ht="23.85" hidden="false" customHeight="false" outlineLevel="0" collapsed="false">
      <c r="A610" s="10" t="s">
        <v>2600</v>
      </c>
      <c r="B610" s="10" t="s">
        <v>2127</v>
      </c>
      <c r="C610" s="10" t="s">
        <v>45</v>
      </c>
      <c r="D610" s="10"/>
      <c r="E610" s="10"/>
      <c r="F610" s="10" t="s">
        <v>2127</v>
      </c>
      <c r="G610" s="11" t="s">
        <v>2601</v>
      </c>
      <c r="H610" s="10" t="n">
        <v>2020</v>
      </c>
      <c r="I610" s="10" t="s">
        <v>2602</v>
      </c>
      <c r="J610" s="11" t="s">
        <v>2603</v>
      </c>
      <c r="K610" s="10" t="s">
        <v>49</v>
      </c>
      <c r="L610" s="10" t="s">
        <v>2604</v>
      </c>
    </row>
    <row r="611" customFormat="false" ht="23.85" hidden="false" customHeight="false" outlineLevel="0" collapsed="false">
      <c r="A611" s="10" t="s">
        <v>2605</v>
      </c>
      <c r="B611" s="10" t="s">
        <v>2127</v>
      </c>
      <c r="C611" s="10" t="s">
        <v>45</v>
      </c>
      <c r="D611" s="10"/>
      <c r="E611" s="10"/>
      <c r="F611" s="10" t="s">
        <v>2127</v>
      </c>
      <c r="G611" s="11" t="s">
        <v>2606</v>
      </c>
      <c r="H611" s="10" t="n">
        <v>2019</v>
      </c>
      <c r="I611" s="10" t="s">
        <v>2607</v>
      </c>
      <c r="J611" s="11" t="s">
        <v>1041</v>
      </c>
      <c r="K611" s="10" t="s">
        <v>61</v>
      </c>
      <c r="L611" s="10" t="s">
        <v>2608</v>
      </c>
    </row>
    <row r="612" customFormat="false" ht="23.85" hidden="false" customHeight="false" outlineLevel="0" collapsed="false">
      <c r="A612" s="10" t="s">
        <v>2609</v>
      </c>
      <c r="B612" s="10" t="s">
        <v>2127</v>
      </c>
      <c r="C612" s="10" t="s">
        <v>45</v>
      </c>
      <c r="D612" s="10"/>
      <c r="E612" s="10"/>
      <c r="F612" s="10" t="s">
        <v>2127</v>
      </c>
      <c r="G612" s="11" t="s">
        <v>2610</v>
      </c>
      <c r="H612" s="10" t="n">
        <v>2026</v>
      </c>
      <c r="I612" s="10" t="s">
        <v>2611</v>
      </c>
      <c r="J612" s="11" t="s">
        <v>2612</v>
      </c>
      <c r="K612" s="10" t="s">
        <v>61</v>
      </c>
      <c r="L612" s="10" t="s">
        <v>2613</v>
      </c>
    </row>
    <row r="613" customFormat="false" ht="23.85" hidden="false" customHeight="false" outlineLevel="0" collapsed="false">
      <c r="A613" s="10" t="s">
        <v>2614</v>
      </c>
      <c r="B613" s="10" t="s">
        <v>2127</v>
      </c>
      <c r="C613" s="10" t="s">
        <v>408</v>
      </c>
      <c r="D613" s="10" t="s">
        <v>784</v>
      </c>
      <c r="E613" s="10" t="s">
        <v>409</v>
      </c>
      <c r="F613" s="10"/>
      <c r="G613" s="11" t="s">
        <v>785</v>
      </c>
      <c r="H613" s="10" t="n">
        <v>2025</v>
      </c>
      <c r="I613" s="10" t="s">
        <v>2615</v>
      </c>
      <c r="J613" s="11" t="s">
        <v>2616</v>
      </c>
      <c r="K613" s="10" t="s">
        <v>49</v>
      </c>
      <c r="L613" s="10" t="s">
        <v>788</v>
      </c>
    </row>
    <row r="614" customFormat="false" ht="15" hidden="false" customHeight="false" outlineLevel="0" collapsed="false">
      <c r="A614" s="10" t="s">
        <v>2617</v>
      </c>
      <c r="B614" s="10" t="s">
        <v>2127</v>
      </c>
      <c r="C614" s="10" t="s">
        <v>45</v>
      </c>
      <c r="D614" s="10"/>
      <c r="E614" s="10"/>
      <c r="F614" s="10" t="s">
        <v>2127</v>
      </c>
      <c r="G614" s="11" t="s">
        <v>2618</v>
      </c>
      <c r="H614" s="10" t="n">
        <v>2019</v>
      </c>
      <c r="I614" s="10" t="s">
        <v>2619</v>
      </c>
      <c r="J614" s="11" t="s">
        <v>2620</v>
      </c>
      <c r="K614" s="10" t="s">
        <v>49</v>
      </c>
      <c r="L614" s="10" t="s">
        <v>2621</v>
      </c>
    </row>
    <row r="615" customFormat="false" ht="23.85" hidden="false" customHeight="false" outlineLevel="0" collapsed="false">
      <c r="A615" s="10" t="s">
        <v>2622</v>
      </c>
      <c r="B615" s="10" t="s">
        <v>2127</v>
      </c>
      <c r="C615" s="10" t="s">
        <v>45</v>
      </c>
      <c r="D615" s="10"/>
      <c r="E615" s="10"/>
      <c r="F615" s="10" t="s">
        <v>2127</v>
      </c>
      <c r="G615" s="11" t="s">
        <v>2623</v>
      </c>
      <c r="H615" s="10" t="n">
        <v>2026</v>
      </c>
      <c r="I615" s="10" t="s">
        <v>2624</v>
      </c>
      <c r="J615" s="11" t="s">
        <v>1041</v>
      </c>
      <c r="K615" s="10" t="s">
        <v>61</v>
      </c>
      <c r="L615" s="10" t="s">
        <v>2625</v>
      </c>
    </row>
    <row r="616" customFormat="false" ht="23.85" hidden="false" customHeight="false" outlineLevel="0" collapsed="false">
      <c r="A616" s="10" t="s">
        <v>2626</v>
      </c>
      <c r="B616" s="10" t="s">
        <v>2127</v>
      </c>
      <c r="C616" s="10" t="s">
        <v>45</v>
      </c>
      <c r="D616" s="10"/>
      <c r="E616" s="10"/>
      <c r="F616" s="10" t="s">
        <v>2127</v>
      </c>
      <c r="G616" s="11" t="s">
        <v>2627</v>
      </c>
      <c r="H616" s="10" t="n">
        <v>2023</v>
      </c>
      <c r="I616" s="10" t="s">
        <v>2628</v>
      </c>
      <c r="J616" s="11" t="s">
        <v>2554</v>
      </c>
      <c r="K616" s="10" t="s">
        <v>61</v>
      </c>
      <c r="L616" s="10" t="s">
        <v>2629</v>
      </c>
    </row>
    <row r="617" customFormat="false" ht="23.85" hidden="false" customHeight="false" outlineLevel="0" collapsed="false">
      <c r="A617" s="10" t="s">
        <v>2630</v>
      </c>
      <c r="B617" s="10" t="s">
        <v>2127</v>
      </c>
      <c r="C617" s="10" t="s">
        <v>408</v>
      </c>
      <c r="D617" s="10" t="s">
        <v>1055</v>
      </c>
      <c r="E617" s="10" t="s">
        <v>409</v>
      </c>
      <c r="F617" s="10"/>
      <c r="G617" s="11" t="s">
        <v>1056</v>
      </c>
      <c r="H617" s="10" t="n">
        <v>2026</v>
      </c>
      <c r="I617" s="10" t="s">
        <v>2631</v>
      </c>
      <c r="J617" s="11" t="s">
        <v>1058</v>
      </c>
      <c r="K617" s="10" t="s">
        <v>61</v>
      </c>
      <c r="L617" s="10" t="s">
        <v>1059</v>
      </c>
    </row>
    <row r="618" customFormat="false" ht="23.85" hidden="false" customHeight="false" outlineLevel="0" collapsed="false">
      <c r="A618" s="10" t="s">
        <v>2632</v>
      </c>
      <c r="B618" s="10" t="s">
        <v>2127</v>
      </c>
      <c r="C618" s="10" t="s">
        <v>2286</v>
      </c>
      <c r="D618" s="10"/>
      <c r="E618" s="10" t="s">
        <v>2533</v>
      </c>
      <c r="F618" s="10"/>
      <c r="G618" s="11" t="s">
        <v>2633</v>
      </c>
      <c r="H618" s="10" t="n">
        <v>2024</v>
      </c>
      <c r="I618" s="10" t="s">
        <v>2634</v>
      </c>
      <c r="J618" s="11" t="s">
        <v>2536</v>
      </c>
      <c r="K618" s="10" t="s">
        <v>2291</v>
      </c>
      <c r="L618" s="10" t="s">
        <v>2635</v>
      </c>
    </row>
    <row r="619" customFormat="false" ht="35.05" hidden="false" customHeight="false" outlineLevel="0" collapsed="false">
      <c r="A619" s="10" t="s">
        <v>2636</v>
      </c>
      <c r="B619" s="10" t="s">
        <v>2127</v>
      </c>
      <c r="C619" s="10" t="s">
        <v>45</v>
      </c>
      <c r="D619" s="10"/>
      <c r="E619" s="10"/>
      <c r="F619" s="10" t="s">
        <v>2127</v>
      </c>
      <c r="G619" s="11" t="s">
        <v>2637</v>
      </c>
      <c r="H619" s="10" t="n">
        <v>2023</v>
      </c>
      <c r="I619" s="10" t="s">
        <v>2638</v>
      </c>
      <c r="J619" s="11" t="s">
        <v>2639</v>
      </c>
      <c r="K619" s="10" t="s">
        <v>49</v>
      </c>
      <c r="L619" s="10" t="s">
        <v>2640</v>
      </c>
    </row>
    <row r="620" customFormat="false" ht="35.05" hidden="false" customHeight="false" outlineLevel="0" collapsed="false">
      <c r="A620" s="10" t="s">
        <v>2641</v>
      </c>
      <c r="B620" s="10" t="s">
        <v>2127</v>
      </c>
      <c r="C620" s="10" t="s">
        <v>45</v>
      </c>
      <c r="D620" s="10"/>
      <c r="E620" s="10"/>
      <c r="F620" s="10" t="s">
        <v>2127</v>
      </c>
      <c r="G620" s="11" t="s">
        <v>2642</v>
      </c>
      <c r="H620" s="10" t="n">
        <v>2022</v>
      </c>
      <c r="I620" s="10" t="s">
        <v>2643</v>
      </c>
      <c r="J620" s="11" t="s">
        <v>2644</v>
      </c>
      <c r="K620" s="10" t="s">
        <v>49</v>
      </c>
      <c r="L620" s="10" t="s">
        <v>2645</v>
      </c>
    </row>
    <row r="621" customFormat="false" ht="23.85" hidden="false" customHeight="false" outlineLevel="0" collapsed="false">
      <c r="A621" s="10" t="s">
        <v>2646</v>
      </c>
      <c r="B621" s="10" t="s">
        <v>2127</v>
      </c>
      <c r="C621" s="10" t="s">
        <v>45</v>
      </c>
      <c r="D621" s="10"/>
      <c r="E621" s="10"/>
      <c r="F621" s="10" t="s">
        <v>2127</v>
      </c>
      <c r="G621" s="11" t="s">
        <v>2647</v>
      </c>
      <c r="H621" s="10" t="n">
        <v>2024</v>
      </c>
      <c r="I621" s="10" t="s">
        <v>2648</v>
      </c>
      <c r="J621" s="11" t="s">
        <v>1041</v>
      </c>
      <c r="K621" s="10" t="s">
        <v>61</v>
      </c>
      <c r="L621" s="10" t="s">
        <v>2649</v>
      </c>
    </row>
    <row r="622" customFormat="false" ht="15" hidden="false" customHeight="false" outlineLevel="0" collapsed="false">
      <c r="A622" s="10" t="s">
        <v>2650</v>
      </c>
      <c r="B622" s="10" t="s">
        <v>2127</v>
      </c>
      <c r="C622" s="10" t="s">
        <v>2286</v>
      </c>
      <c r="D622" s="10"/>
      <c r="E622" s="10" t="s">
        <v>2651</v>
      </c>
      <c r="F622" s="10"/>
      <c r="G622" s="11" t="s">
        <v>2652</v>
      </c>
      <c r="H622" s="10" t="n">
        <v>2024</v>
      </c>
      <c r="I622" s="10" t="s">
        <v>2653</v>
      </c>
      <c r="J622" s="11" t="s">
        <v>2654</v>
      </c>
      <c r="K622" s="10" t="s">
        <v>2655</v>
      </c>
      <c r="L622" s="10" t="s">
        <v>2656</v>
      </c>
    </row>
    <row r="623" customFormat="false" ht="23.85" hidden="false" customHeight="false" outlineLevel="0" collapsed="false">
      <c r="A623" s="10" t="s">
        <v>2657</v>
      </c>
      <c r="B623" s="10" t="s">
        <v>2127</v>
      </c>
      <c r="C623" s="10" t="s">
        <v>45</v>
      </c>
      <c r="D623" s="10"/>
      <c r="E623" s="10"/>
      <c r="F623" s="10" t="s">
        <v>2127</v>
      </c>
      <c r="G623" s="11" t="s">
        <v>2658</v>
      </c>
      <c r="H623" s="10" t="n">
        <v>2024</v>
      </c>
      <c r="I623" s="10" t="s">
        <v>2659</v>
      </c>
      <c r="J623" s="11" t="s">
        <v>2242</v>
      </c>
      <c r="K623" s="10" t="s">
        <v>49</v>
      </c>
      <c r="L623" s="10" t="s">
        <v>2660</v>
      </c>
    </row>
    <row r="624" customFormat="false" ht="23.85" hidden="false" customHeight="false" outlineLevel="0" collapsed="false">
      <c r="A624" s="10" t="s">
        <v>2661</v>
      </c>
      <c r="B624" s="10" t="s">
        <v>2127</v>
      </c>
      <c r="C624" s="10" t="s">
        <v>45</v>
      </c>
      <c r="D624" s="10"/>
      <c r="E624" s="10"/>
      <c r="F624" s="10" t="s">
        <v>2127</v>
      </c>
      <c r="G624" s="11" t="s">
        <v>2662</v>
      </c>
      <c r="H624" s="10" t="n">
        <v>2022</v>
      </c>
      <c r="I624" s="10" t="s">
        <v>2663</v>
      </c>
      <c r="J624" s="11" t="s">
        <v>2664</v>
      </c>
      <c r="K624" s="10" t="s">
        <v>49</v>
      </c>
      <c r="L624" s="10" t="s">
        <v>2665</v>
      </c>
    </row>
    <row r="625" customFormat="false" ht="23.85" hidden="false" customHeight="false" outlineLevel="0" collapsed="false">
      <c r="A625" s="10" t="s">
        <v>2666</v>
      </c>
      <c r="B625" s="10" t="s">
        <v>2127</v>
      </c>
      <c r="C625" s="10" t="s">
        <v>45</v>
      </c>
      <c r="D625" s="10"/>
      <c r="E625" s="10"/>
      <c r="F625" s="10" t="s">
        <v>2127</v>
      </c>
      <c r="G625" s="11" t="s">
        <v>2667</v>
      </c>
      <c r="H625" s="10" t="n">
        <v>2024</v>
      </c>
      <c r="I625" s="10" t="s">
        <v>2299</v>
      </c>
      <c r="J625" s="11" t="s">
        <v>2242</v>
      </c>
      <c r="K625" s="10" t="s">
        <v>49</v>
      </c>
      <c r="L625" s="10" t="s">
        <v>2668</v>
      </c>
    </row>
    <row r="626" customFormat="false" ht="23.85" hidden="false" customHeight="false" outlineLevel="0" collapsed="false">
      <c r="A626" s="10" t="s">
        <v>2669</v>
      </c>
      <c r="B626" s="10" t="s">
        <v>2127</v>
      </c>
      <c r="C626" s="10" t="s">
        <v>45</v>
      </c>
      <c r="D626" s="10"/>
      <c r="E626" s="10"/>
      <c r="F626" s="10" t="s">
        <v>2127</v>
      </c>
      <c r="G626" s="11" t="s">
        <v>2670</v>
      </c>
      <c r="H626" s="10" t="n">
        <v>2026</v>
      </c>
      <c r="I626" s="10" t="s">
        <v>2671</v>
      </c>
      <c r="J626" s="11" t="s">
        <v>2672</v>
      </c>
      <c r="K626" s="10" t="s">
        <v>49</v>
      </c>
      <c r="L626" s="10" t="s">
        <v>2673</v>
      </c>
    </row>
    <row r="627" customFormat="false" ht="15" hidden="false" customHeight="false" outlineLevel="0" collapsed="false">
      <c r="A627" s="10" t="s">
        <v>2674</v>
      </c>
      <c r="B627" s="10" t="s">
        <v>2127</v>
      </c>
      <c r="C627" s="10" t="s">
        <v>45</v>
      </c>
      <c r="D627" s="10"/>
      <c r="E627" s="10"/>
      <c r="F627" s="10" t="s">
        <v>2127</v>
      </c>
      <c r="G627" s="11" t="s">
        <v>2675</v>
      </c>
      <c r="H627" s="10" t="n">
        <v>2026</v>
      </c>
      <c r="I627" s="10" t="s">
        <v>2676</v>
      </c>
      <c r="J627" s="11" t="s">
        <v>349</v>
      </c>
      <c r="K627" s="10" t="s">
        <v>61</v>
      </c>
      <c r="L627" s="10" t="s">
        <v>2677</v>
      </c>
    </row>
    <row r="628" customFormat="false" ht="35.05" hidden="false" customHeight="false" outlineLevel="0" collapsed="false">
      <c r="A628" s="10" t="s">
        <v>2678</v>
      </c>
      <c r="B628" s="10" t="s">
        <v>2127</v>
      </c>
      <c r="C628" s="10" t="s">
        <v>45</v>
      </c>
      <c r="D628" s="10"/>
      <c r="E628" s="10"/>
      <c r="F628" s="10" t="s">
        <v>2127</v>
      </c>
      <c r="G628" s="11" t="s">
        <v>2679</v>
      </c>
      <c r="H628" s="10" t="n">
        <v>2021</v>
      </c>
      <c r="I628" s="10" t="s">
        <v>2310</v>
      </c>
      <c r="J628" s="11" t="s">
        <v>2680</v>
      </c>
      <c r="K628" s="10" t="s">
        <v>49</v>
      </c>
      <c r="L628" s="10" t="s">
        <v>2681</v>
      </c>
    </row>
    <row r="629" customFormat="false" ht="23.85" hidden="false" customHeight="false" outlineLevel="0" collapsed="false">
      <c r="A629" s="10" t="s">
        <v>2682</v>
      </c>
      <c r="B629" s="10" t="s">
        <v>2127</v>
      </c>
      <c r="C629" s="10" t="s">
        <v>45</v>
      </c>
      <c r="D629" s="10"/>
      <c r="E629" s="10"/>
      <c r="F629" s="10" t="s">
        <v>2127</v>
      </c>
      <c r="G629" s="11" t="s">
        <v>2683</v>
      </c>
      <c r="H629" s="10" t="n">
        <v>2026</v>
      </c>
      <c r="I629" s="10" t="s">
        <v>2684</v>
      </c>
      <c r="J629" s="11" t="s">
        <v>2685</v>
      </c>
      <c r="K629" s="10" t="s">
        <v>49</v>
      </c>
      <c r="L629" s="10" t="s">
        <v>2686</v>
      </c>
    </row>
    <row r="630" customFormat="false" ht="23.85" hidden="false" customHeight="false" outlineLevel="0" collapsed="false">
      <c r="A630" s="10" t="s">
        <v>2687</v>
      </c>
      <c r="B630" s="10" t="s">
        <v>2127</v>
      </c>
      <c r="C630" s="10" t="s">
        <v>45</v>
      </c>
      <c r="D630" s="10"/>
      <c r="E630" s="10"/>
      <c r="F630" s="10" t="s">
        <v>2127</v>
      </c>
      <c r="G630" s="11" t="s">
        <v>2688</v>
      </c>
      <c r="H630" s="10" t="n">
        <v>2025</v>
      </c>
      <c r="I630" s="10" t="s">
        <v>2689</v>
      </c>
      <c r="J630" s="11" t="s">
        <v>2690</v>
      </c>
      <c r="K630" s="10" t="s">
        <v>49</v>
      </c>
      <c r="L630" s="10" t="s">
        <v>2691</v>
      </c>
    </row>
    <row r="631" customFormat="false" ht="23.85" hidden="false" customHeight="false" outlineLevel="0" collapsed="false">
      <c r="A631" s="10" t="s">
        <v>2692</v>
      </c>
      <c r="B631" s="10" t="s">
        <v>2127</v>
      </c>
      <c r="C631" s="10" t="s">
        <v>45</v>
      </c>
      <c r="D631" s="10"/>
      <c r="E631" s="10"/>
      <c r="F631" s="10" t="s">
        <v>2127</v>
      </c>
      <c r="G631" s="11" t="s">
        <v>2693</v>
      </c>
      <c r="H631" s="10" t="n">
        <v>2018</v>
      </c>
      <c r="I631" s="10" t="s">
        <v>2694</v>
      </c>
      <c r="J631" s="11" t="s">
        <v>2695</v>
      </c>
      <c r="K631" s="10" t="s">
        <v>49</v>
      </c>
      <c r="L631" s="10" t="s">
        <v>2696</v>
      </c>
    </row>
    <row r="632" customFormat="false" ht="35.05" hidden="false" customHeight="false" outlineLevel="0" collapsed="false">
      <c r="A632" s="10" t="s">
        <v>2697</v>
      </c>
      <c r="B632" s="10" t="s">
        <v>2127</v>
      </c>
      <c r="C632" s="10" t="s">
        <v>2286</v>
      </c>
      <c r="D632" s="10"/>
      <c r="E632" s="10" t="s">
        <v>2588</v>
      </c>
      <c r="F632" s="10"/>
      <c r="G632" s="11" t="s">
        <v>2698</v>
      </c>
      <c r="H632" s="10" t="n">
        <v>2025</v>
      </c>
      <c r="I632" s="10" t="s">
        <v>2699</v>
      </c>
      <c r="J632" s="11" t="s">
        <v>2700</v>
      </c>
      <c r="K632" s="10" t="s">
        <v>2291</v>
      </c>
      <c r="L632" s="10"/>
    </row>
    <row r="633" customFormat="false" ht="23.85" hidden="false" customHeight="false" outlineLevel="0" collapsed="false">
      <c r="A633" s="10" t="s">
        <v>2701</v>
      </c>
      <c r="B633" s="10" t="s">
        <v>2127</v>
      </c>
      <c r="C633" s="10" t="s">
        <v>408</v>
      </c>
      <c r="D633" s="10" t="s">
        <v>2080</v>
      </c>
      <c r="E633" s="10" t="s">
        <v>409</v>
      </c>
      <c r="F633" s="10"/>
      <c r="G633" s="11" t="s">
        <v>2702</v>
      </c>
      <c r="H633" s="10" t="n">
        <v>2024</v>
      </c>
      <c r="I633" s="10" t="s">
        <v>2703</v>
      </c>
      <c r="J633" s="11" t="s">
        <v>2704</v>
      </c>
      <c r="K633" s="10" t="s">
        <v>49</v>
      </c>
      <c r="L633" s="10" t="s">
        <v>2084</v>
      </c>
    </row>
    <row r="634" customFormat="false" ht="23.85" hidden="false" customHeight="false" outlineLevel="0" collapsed="false">
      <c r="A634" s="10" t="s">
        <v>2705</v>
      </c>
      <c r="B634" s="10" t="s">
        <v>2127</v>
      </c>
      <c r="C634" s="10" t="s">
        <v>45</v>
      </c>
      <c r="D634" s="10"/>
      <c r="E634" s="10"/>
      <c r="F634" s="10" t="s">
        <v>2127</v>
      </c>
      <c r="G634" s="11" t="s">
        <v>2706</v>
      </c>
      <c r="H634" s="10" t="n">
        <v>2021</v>
      </c>
      <c r="I634" s="10" t="s">
        <v>2707</v>
      </c>
      <c r="J634" s="11" t="s">
        <v>2708</v>
      </c>
      <c r="K634" s="10" t="s">
        <v>49</v>
      </c>
      <c r="L634" s="10" t="s">
        <v>2709</v>
      </c>
    </row>
    <row r="635" customFormat="false" ht="15" hidden="false" customHeight="false" outlineLevel="0" collapsed="false">
      <c r="A635" s="10" t="s">
        <v>2710</v>
      </c>
      <c r="B635" s="10" t="s">
        <v>2127</v>
      </c>
      <c r="C635" s="10" t="s">
        <v>408</v>
      </c>
      <c r="D635" s="10" t="s">
        <v>346</v>
      </c>
      <c r="E635" s="10" t="s">
        <v>409</v>
      </c>
      <c r="F635" s="10"/>
      <c r="G635" s="11" t="s">
        <v>347</v>
      </c>
      <c r="H635" s="10" t="n">
        <v>2026</v>
      </c>
      <c r="I635" s="10" t="s">
        <v>2711</v>
      </c>
      <c r="J635" s="11" t="s">
        <v>349</v>
      </c>
      <c r="K635" s="10" t="s">
        <v>61</v>
      </c>
      <c r="L635" s="10" t="s">
        <v>350</v>
      </c>
    </row>
    <row r="636" customFormat="false" ht="35.05" hidden="false" customHeight="false" outlineLevel="0" collapsed="false">
      <c r="A636" s="10" t="s">
        <v>2712</v>
      </c>
      <c r="B636" s="10" t="s">
        <v>2127</v>
      </c>
      <c r="C636" s="10" t="s">
        <v>408</v>
      </c>
      <c r="D636" s="10" t="s">
        <v>1063</v>
      </c>
      <c r="E636" s="10" t="s">
        <v>409</v>
      </c>
      <c r="F636" s="10"/>
      <c r="G636" s="11" t="s">
        <v>1064</v>
      </c>
      <c r="H636" s="10" t="n">
        <v>2025</v>
      </c>
      <c r="I636" s="10" t="s">
        <v>2713</v>
      </c>
      <c r="J636" s="11" t="s">
        <v>2714</v>
      </c>
      <c r="K636" s="10" t="s">
        <v>49</v>
      </c>
      <c r="L636" s="10" t="s">
        <v>1067</v>
      </c>
    </row>
    <row r="637" customFormat="false" ht="23.85" hidden="false" customHeight="false" outlineLevel="0" collapsed="false">
      <c r="A637" s="10" t="s">
        <v>2715</v>
      </c>
      <c r="B637" s="10" t="s">
        <v>2127</v>
      </c>
      <c r="C637" s="10" t="s">
        <v>408</v>
      </c>
      <c r="D637" s="10" t="s">
        <v>582</v>
      </c>
      <c r="E637" s="10" t="s">
        <v>409</v>
      </c>
      <c r="F637" s="10"/>
      <c r="G637" s="11" t="s">
        <v>583</v>
      </c>
      <c r="H637" s="10" t="n">
        <v>2020</v>
      </c>
      <c r="I637" s="10" t="s">
        <v>2716</v>
      </c>
      <c r="J637" s="11" t="s">
        <v>2717</v>
      </c>
      <c r="K637" s="10" t="s">
        <v>49</v>
      </c>
      <c r="L637" s="10" t="s">
        <v>586</v>
      </c>
    </row>
    <row r="638" customFormat="false" ht="35.05" hidden="false" customHeight="false" outlineLevel="0" collapsed="false">
      <c r="A638" s="10" t="s">
        <v>2718</v>
      </c>
      <c r="B638" s="10" t="s">
        <v>2127</v>
      </c>
      <c r="C638" s="10" t="s">
        <v>45</v>
      </c>
      <c r="D638" s="10"/>
      <c r="E638" s="10"/>
      <c r="F638" s="10" t="s">
        <v>2127</v>
      </c>
      <c r="G638" s="11" t="s">
        <v>2719</v>
      </c>
      <c r="H638" s="10" t="n">
        <v>2020</v>
      </c>
      <c r="I638" s="10" t="s">
        <v>2720</v>
      </c>
      <c r="J638" s="11" t="s">
        <v>2721</v>
      </c>
      <c r="K638" s="10" t="s">
        <v>49</v>
      </c>
      <c r="L638" s="10" t="s">
        <v>2722</v>
      </c>
    </row>
    <row r="639" customFormat="false" ht="15" hidden="false" customHeight="false" outlineLevel="0" collapsed="false">
      <c r="A639" s="10" t="s">
        <v>2723</v>
      </c>
      <c r="B639" s="10" t="s">
        <v>2127</v>
      </c>
      <c r="C639" s="10" t="s">
        <v>408</v>
      </c>
      <c r="D639" s="10" t="s">
        <v>1352</v>
      </c>
      <c r="E639" s="10" t="s">
        <v>409</v>
      </c>
      <c r="F639" s="10"/>
      <c r="G639" s="11" t="s">
        <v>2724</v>
      </c>
      <c r="H639" s="10" t="n">
        <v>2019</v>
      </c>
      <c r="I639" s="10" t="s">
        <v>2725</v>
      </c>
      <c r="J639" s="11" t="s">
        <v>2620</v>
      </c>
      <c r="K639" s="10" t="s">
        <v>49</v>
      </c>
      <c r="L639" s="10" t="s">
        <v>1356</v>
      </c>
    </row>
    <row r="640" customFormat="false" ht="23.85" hidden="false" customHeight="false" outlineLevel="0" collapsed="false">
      <c r="A640" s="10" t="s">
        <v>2726</v>
      </c>
      <c r="B640" s="10" t="s">
        <v>2127</v>
      </c>
      <c r="C640" s="10" t="s">
        <v>408</v>
      </c>
      <c r="D640" s="10" t="s">
        <v>1238</v>
      </c>
      <c r="E640" s="10" t="s">
        <v>409</v>
      </c>
      <c r="F640" s="10"/>
      <c r="G640" s="11" t="s">
        <v>1239</v>
      </c>
      <c r="H640" s="10" t="n">
        <v>2022</v>
      </c>
      <c r="I640" s="10" t="s">
        <v>2727</v>
      </c>
      <c r="J640" s="11" t="s">
        <v>1241</v>
      </c>
      <c r="K640" s="10" t="s">
        <v>61</v>
      </c>
      <c r="L640" s="10" t="s">
        <v>1242</v>
      </c>
    </row>
    <row r="641" customFormat="false" ht="23.85" hidden="false" customHeight="false" outlineLevel="0" collapsed="false">
      <c r="A641" s="10" t="s">
        <v>2728</v>
      </c>
      <c r="B641" s="10" t="s">
        <v>2127</v>
      </c>
      <c r="C641" s="10" t="s">
        <v>45</v>
      </c>
      <c r="D641" s="10"/>
      <c r="E641" s="10"/>
      <c r="F641" s="10" t="s">
        <v>2127</v>
      </c>
      <c r="G641" s="11" t="s">
        <v>2729</v>
      </c>
      <c r="H641" s="10" t="n">
        <v>2019</v>
      </c>
      <c r="I641" s="10" t="s">
        <v>2730</v>
      </c>
      <c r="J641" s="11" t="s">
        <v>2731</v>
      </c>
      <c r="K641" s="10" t="s">
        <v>49</v>
      </c>
      <c r="L641" s="10" t="s">
        <v>2732</v>
      </c>
    </row>
    <row r="642" customFormat="false" ht="23.85" hidden="false" customHeight="false" outlineLevel="0" collapsed="false">
      <c r="A642" s="10" t="s">
        <v>2733</v>
      </c>
      <c r="B642" s="10" t="s">
        <v>2127</v>
      </c>
      <c r="C642" s="10" t="s">
        <v>45</v>
      </c>
      <c r="D642" s="10"/>
      <c r="E642" s="10"/>
      <c r="F642" s="10" t="s">
        <v>2127</v>
      </c>
      <c r="G642" s="11" t="s">
        <v>2734</v>
      </c>
      <c r="H642" s="10" t="n">
        <v>2018</v>
      </c>
      <c r="I642" s="10" t="s">
        <v>2735</v>
      </c>
      <c r="J642" s="11" t="s">
        <v>2736</v>
      </c>
      <c r="K642" s="10" t="s">
        <v>49</v>
      </c>
      <c r="L642" s="10" t="s">
        <v>2737</v>
      </c>
    </row>
    <row r="643" customFormat="false" ht="35.05" hidden="false" customHeight="false" outlineLevel="0" collapsed="false">
      <c r="A643" s="10" t="s">
        <v>2738</v>
      </c>
      <c r="B643" s="10" t="s">
        <v>2127</v>
      </c>
      <c r="C643" s="10" t="s">
        <v>2286</v>
      </c>
      <c r="D643" s="10"/>
      <c r="E643" s="10" t="s">
        <v>2588</v>
      </c>
      <c r="F643" s="10"/>
      <c r="G643" s="11" t="s">
        <v>2739</v>
      </c>
      <c r="H643" s="10" t="n">
        <v>2025</v>
      </c>
      <c r="I643" s="10" t="s">
        <v>2699</v>
      </c>
      <c r="J643" s="11" t="s">
        <v>2700</v>
      </c>
      <c r="K643" s="10" t="s">
        <v>2291</v>
      </c>
      <c r="L643" s="10"/>
    </row>
    <row r="644" customFormat="false" ht="35.05" hidden="false" customHeight="false" outlineLevel="0" collapsed="false">
      <c r="A644" s="10" t="s">
        <v>2740</v>
      </c>
      <c r="B644" s="10" t="s">
        <v>2127</v>
      </c>
      <c r="C644" s="10" t="s">
        <v>2286</v>
      </c>
      <c r="D644" s="10"/>
      <c r="E644" s="10" t="s">
        <v>2588</v>
      </c>
      <c r="F644" s="10"/>
      <c r="G644" s="11" t="s">
        <v>2741</v>
      </c>
      <c r="H644" s="10" t="n">
        <v>2025</v>
      </c>
      <c r="I644" s="10" t="s">
        <v>2699</v>
      </c>
      <c r="J644" s="11" t="s">
        <v>2700</v>
      </c>
      <c r="K644" s="10" t="s">
        <v>2291</v>
      </c>
      <c r="L644" s="10"/>
    </row>
    <row r="645" customFormat="false" ht="23.85" hidden="false" customHeight="false" outlineLevel="0" collapsed="false">
      <c r="A645" s="10" t="s">
        <v>2742</v>
      </c>
      <c r="B645" s="10" t="s">
        <v>2127</v>
      </c>
      <c r="C645" s="10" t="s">
        <v>45</v>
      </c>
      <c r="D645" s="10"/>
      <c r="E645" s="10"/>
      <c r="F645" s="10" t="s">
        <v>2127</v>
      </c>
      <c r="G645" s="11" t="s">
        <v>2743</v>
      </c>
      <c r="H645" s="10" t="n">
        <v>2019</v>
      </c>
      <c r="I645" s="10" t="s">
        <v>2744</v>
      </c>
      <c r="J645" s="11" t="s">
        <v>2745</v>
      </c>
      <c r="K645" s="10" t="s">
        <v>49</v>
      </c>
      <c r="L645" s="10" t="s">
        <v>2746</v>
      </c>
    </row>
    <row r="646" customFormat="false" ht="23.85" hidden="false" customHeight="false" outlineLevel="0" collapsed="false">
      <c r="A646" s="10" t="s">
        <v>2747</v>
      </c>
      <c r="B646" s="10" t="s">
        <v>2127</v>
      </c>
      <c r="C646" s="10" t="s">
        <v>408</v>
      </c>
      <c r="D646" s="10" t="s">
        <v>101</v>
      </c>
      <c r="E646" s="10" t="s">
        <v>409</v>
      </c>
      <c r="F646" s="10"/>
      <c r="G646" s="11" t="s">
        <v>102</v>
      </c>
      <c r="H646" s="10" t="n">
        <v>2023</v>
      </c>
      <c r="I646" s="10" t="s">
        <v>2748</v>
      </c>
      <c r="J646" s="11" t="s">
        <v>2749</v>
      </c>
      <c r="K646" s="10" t="s">
        <v>49</v>
      </c>
      <c r="L646" s="10" t="s">
        <v>105</v>
      </c>
    </row>
    <row r="647" customFormat="false" ht="23.85" hidden="false" customHeight="false" outlineLevel="0" collapsed="false">
      <c r="A647" s="10" t="s">
        <v>2750</v>
      </c>
      <c r="B647" s="10" t="s">
        <v>2127</v>
      </c>
      <c r="C647" s="10" t="s">
        <v>45</v>
      </c>
      <c r="D647" s="10"/>
      <c r="E647" s="10"/>
      <c r="F647" s="10" t="s">
        <v>2127</v>
      </c>
      <c r="G647" s="11" t="s">
        <v>2751</v>
      </c>
      <c r="H647" s="10" t="n">
        <v>2020</v>
      </c>
      <c r="I647" s="10" t="s">
        <v>2752</v>
      </c>
      <c r="J647" s="11" t="s">
        <v>2549</v>
      </c>
      <c r="K647" s="10" t="s">
        <v>49</v>
      </c>
      <c r="L647" s="10" t="s">
        <v>2753</v>
      </c>
    </row>
    <row r="648" customFormat="false" ht="23.85" hidden="false" customHeight="false" outlineLevel="0" collapsed="false">
      <c r="A648" s="10" t="s">
        <v>2754</v>
      </c>
      <c r="B648" s="10" t="s">
        <v>2127</v>
      </c>
      <c r="C648" s="10" t="s">
        <v>45</v>
      </c>
      <c r="D648" s="10"/>
      <c r="E648" s="10"/>
      <c r="F648" s="10" t="s">
        <v>2127</v>
      </c>
      <c r="G648" s="11" t="s">
        <v>2755</v>
      </c>
      <c r="H648" s="10" t="n">
        <v>2022</v>
      </c>
      <c r="I648" s="10" t="s">
        <v>2756</v>
      </c>
      <c r="J648" s="11" t="s">
        <v>2757</v>
      </c>
      <c r="K648" s="10" t="s">
        <v>49</v>
      </c>
      <c r="L648" s="10" t="s">
        <v>2758</v>
      </c>
    </row>
    <row r="649" customFormat="false" ht="23.85" hidden="false" customHeight="false" outlineLevel="0" collapsed="false">
      <c r="A649" s="10" t="s">
        <v>2759</v>
      </c>
      <c r="B649" s="10" t="s">
        <v>2127</v>
      </c>
      <c r="C649" s="10" t="s">
        <v>45</v>
      </c>
      <c r="D649" s="10"/>
      <c r="E649" s="10"/>
      <c r="F649" s="10" t="s">
        <v>2127</v>
      </c>
      <c r="G649" s="11" t="s">
        <v>2760</v>
      </c>
      <c r="H649" s="10" t="n">
        <v>2022</v>
      </c>
      <c r="I649" s="10" t="s">
        <v>2761</v>
      </c>
      <c r="J649" s="11" t="s">
        <v>2762</v>
      </c>
      <c r="K649" s="10" t="s">
        <v>49</v>
      </c>
      <c r="L649" s="10" t="s">
        <v>2763</v>
      </c>
    </row>
    <row r="650" customFormat="false" ht="23.85" hidden="false" customHeight="false" outlineLevel="0" collapsed="false">
      <c r="A650" s="10" t="s">
        <v>2764</v>
      </c>
      <c r="B650" s="10" t="s">
        <v>2127</v>
      </c>
      <c r="C650" s="10" t="s">
        <v>408</v>
      </c>
      <c r="D650" s="10" t="s">
        <v>1331</v>
      </c>
      <c r="E650" s="10" t="s">
        <v>409</v>
      </c>
      <c r="F650" s="10"/>
      <c r="G650" s="11" t="s">
        <v>1332</v>
      </c>
      <c r="H650" s="10" t="n">
        <v>2023</v>
      </c>
      <c r="I650" s="10" t="s">
        <v>2765</v>
      </c>
      <c r="J650" s="11" t="s">
        <v>2766</v>
      </c>
      <c r="K650" s="10" t="s">
        <v>49</v>
      </c>
      <c r="L650" s="10" t="s">
        <v>1335</v>
      </c>
    </row>
    <row r="651" customFormat="false" ht="23.85" hidden="false" customHeight="false" outlineLevel="0" collapsed="false">
      <c r="A651" s="10" t="s">
        <v>2767</v>
      </c>
      <c r="B651" s="10" t="s">
        <v>2127</v>
      </c>
      <c r="C651" s="10" t="s">
        <v>408</v>
      </c>
      <c r="D651" s="10" t="s">
        <v>338</v>
      </c>
      <c r="E651" s="10" t="s">
        <v>409</v>
      </c>
      <c r="F651" s="10"/>
      <c r="G651" s="11" t="s">
        <v>339</v>
      </c>
      <c r="H651" s="10" t="n">
        <v>2025</v>
      </c>
      <c r="I651" s="10" t="s">
        <v>2768</v>
      </c>
      <c r="J651" s="11" t="s">
        <v>2462</v>
      </c>
      <c r="K651" s="10" t="s">
        <v>49</v>
      </c>
      <c r="L651" s="10" t="s">
        <v>341</v>
      </c>
    </row>
    <row r="652" customFormat="false" ht="35.05" hidden="false" customHeight="false" outlineLevel="0" collapsed="false">
      <c r="A652" s="10" t="s">
        <v>2769</v>
      </c>
      <c r="B652" s="10" t="s">
        <v>2127</v>
      </c>
      <c r="C652" s="10" t="s">
        <v>408</v>
      </c>
      <c r="D652" s="10" t="s">
        <v>834</v>
      </c>
      <c r="E652" s="10" t="s">
        <v>409</v>
      </c>
      <c r="F652" s="10"/>
      <c r="G652" s="11" t="s">
        <v>835</v>
      </c>
      <c r="H652" s="10" t="n">
        <v>2025</v>
      </c>
      <c r="I652" s="10" t="s">
        <v>2770</v>
      </c>
      <c r="J652" s="11" t="s">
        <v>2771</v>
      </c>
      <c r="K652" s="10" t="s">
        <v>49</v>
      </c>
      <c r="L652" s="10" t="s">
        <v>838</v>
      </c>
    </row>
    <row r="653" customFormat="false" ht="15" hidden="false" customHeight="false" outlineLevel="0" collapsed="false">
      <c r="A653" s="10" t="s">
        <v>2772</v>
      </c>
      <c r="B653" s="10" t="s">
        <v>2127</v>
      </c>
      <c r="C653" s="10" t="s">
        <v>2286</v>
      </c>
      <c r="D653" s="10"/>
      <c r="E653" s="10" t="s">
        <v>2651</v>
      </c>
      <c r="F653" s="10"/>
      <c r="G653" s="11" t="s">
        <v>2773</v>
      </c>
      <c r="H653" s="10" t="n">
        <v>2021</v>
      </c>
      <c r="I653" s="10" t="s">
        <v>2774</v>
      </c>
      <c r="J653" s="11" t="s">
        <v>233</v>
      </c>
      <c r="K653" s="10" t="s">
        <v>2655</v>
      </c>
      <c r="L653" s="10" t="s">
        <v>2775</v>
      </c>
    </row>
    <row r="654" customFormat="false" ht="35.05" hidden="false" customHeight="false" outlineLevel="0" collapsed="false">
      <c r="A654" s="10" t="s">
        <v>2776</v>
      </c>
      <c r="B654" s="10" t="s">
        <v>2127</v>
      </c>
      <c r="C654" s="10" t="s">
        <v>2286</v>
      </c>
      <c r="D654" s="10"/>
      <c r="E654" s="10" t="s">
        <v>2588</v>
      </c>
      <c r="F654" s="10"/>
      <c r="G654" s="11" t="s">
        <v>2777</v>
      </c>
      <c r="H654" s="10" t="n">
        <v>2025</v>
      </c>
      <c r="I654" s="10" t="s">
        <v>2699</v>
      </c>
      <c r="J654" s="11" t="s">
        <v>2700</v>
      </c>
      <c r="K654" s="10" t="s">
        <v>2291</v>
      </c>
      <c r="L654" s="10"/>
    </row>
    <row r="655" customFormat="false" ht="35.05" hidden="false" customHeight="false" outlineLevel="0" collapsed="false">
      <c r="A655" s="10" t="s">
        <v>2778</v>
      </c>
      <c r="B655" s="10" t="s">
        <v>2127</v>
      </c>
      <c r="C655" s="10" t="s">
        <v>2286</v>
      </c>
      <c r="D655" s="10"/>
      <c r="E655" s="10" t="s">
        <v>2588</v>
      </c>
      <c r="F655" s="10"/>
      <c r="G655" s="11" t="s">
        <v>2779</v>
      </c>
      <c r="H655" s="10" t="n">
        <v>2025</v>
      </c>
      <c r="I655" s="10" t="s">
        <v>2699</v>
      </c>
      <c r="J655" s="11" t="s">
        <v>2700</v>
      </c>
      <c r="K655" s="10" t="s">
        <v>2291</v>
      </c>
      <c r="L655" s="10"/>
    </row>
    <row r="656" customFormat="false" ht="23.85" hidden="false" customHeight="false" outlineLevel="0" collapsed="false">
      <c r="A656" s="10" t="s">
        <v>2780</v>
      </c>
      <c r="B656" s="10" t="s">
        <v>2127</v>
      </c>
      <c r="C656" s="10" t="s">
        <v>45</v>
      </c>
      <c r="D656" s="10"/>
      <c r="E656" s="10"/>
      <c r="F656" s="10" t="s">
        <v>2127</v>
      </c>
      <c r="G656" s="11" t="s">
        <v>2781</v>
      </c>
      <c r="H656" s="10" t="n">
        <v>2025</v>
      </c>
      <c r="I656" s="10" t="s">
        <v>2782</v>
      </c>
      <c r="J656" s="11" t="s">
        <v>2462</v>
      </c>
      <c r="K656" s="10" t="s">
        <v>49</v>
      </c>
      <c r="L656" s="10" t="s">
        <v>2783</v>
      </c>
    </row>
    <row r="657" customFormat="false" ht="23.85" hidden="false" customHeight="false" outlineLevel="0" collapsed="false">
      <c r="A657" s="10" t="s">
        <v>2784</v>
      </c>
      <c r="B657" s="10" t="s">
        <v>2127</v>
      </c>
      <c r="C657" s="10" t="s">
        <v>408</v>
      </c>
      <c r="D657" s="10" t="s">
        <v>129</v>
      </c>
      <c r="E657" s="10" t="s">
        <v>409</v>
      </c>
      <c r="F657" s="10"/>
      <c r="G657" s="11" t="s">
        <v>130</v>
      </c>
      <c r="H657" s="10" t="n">
        <v>2023</v>
      </c>
      <c r="I657" s="10" t="s">
        <v>2785</v>
      </c>
      <c r="J657" s="11" t="s">
        <v>2786</v>
      </c>
      <c r="K657" s="10" t="s">
        <v>49</v>
      </c>
      <c r="L657" s="10" t="s">
        <v>133</v>
      </c>
    </row>
    <row r="658" customFormat="false" ht="35.05" hidden="false" customHeight="false" outlineLevel="0" collapsed="false">
      <c r="A658" s="10" t="s">
        <v>2787</v>
      </c>
      <c r="B658" s="10" t="s">
        <v>2127</v>
      </c>
      <c r="C658" s="10" t="s">
        <v>45</v>
      </c>
      <c r="D658" s="10"/>
      <c r="E658" s="10"/>
      <c r="F658" s="10" t="s">
        <v>2127</v>
      </c>
      <c r="G658" s="11" t="s">
        <v>2788</v>
      </c>
      <c r="H658" s="10" t="n">
        <v>2023</v>
      </c>
      <c r="I658" s="10" t="s">
        <v>2789</v>
      </c>
      <c r="J658" s="11" t="s">
        <v>2562</v>
      </c>
      <c r="K658" s="10" t="s">
        <v>49</v>
      </c>
      <c r="L658" s="10" t="s">
        <v>2790</v>
      </c>
    </row>
    <row r="659" customFormat="false" ht="23.85" hidden="false" customHeight="false" outlineLevel="0" collapsed="false">
      <c r="A659" s="10" t="s">
        <v>2791</v>
      </c>
      <c r="B659" s="10" t="s">
        <v>2127</v>
      </c>
      <c r="C659" s="10" t="s">
        <v>408</v>
      </c>
      <c r="D659" s="10" t="s">
        <v>1380</v>
      </c>
      <c r="E659" s="10" t="s">
        <v>409</v>
      </c>
      <c r="F659" s="10"/>
      <c r="G659" s="11" t="s">
        <v>2792</v>
      </c>
      <c r="H659" s="10" t="n">
        <v>2024</v>
      </c>
      <c r="I659" s="10" t="s">
        <v>2218</v>
      </c>
      <c r="J659" s="11" t="s">
        <v>2793</v>
      </c>
      <c r="K659" s="10" t="s">
        <v>49</v>
      </c>
      <c r="L659" s="10" t="s">
        <v>1384</v>
      </c>
    </row>
    <row r="660" customFormat="false" ht="35.05" hidden="false" customHeight="false" outlineLevel="0" collapsed="false">
      <c r="A660" s="10" t="s">
        <v>2794</v>
      </c>
      <c r="B660" s="10" t="s">
        <v>2127</v>
      </c>
      <c r="C660" s="10" t="s">
        <v>2286</v>
      </c>
      <c r="D660" s="10"/>
      <c r="E660" s="10" t="s">
        <v>2588</v>
      </c>
      <c r="F660" s="10"/>
      <c r="G660" s="11" t="s">
        <v>2795</v>
      </c>
      <c r="H660" s="10" t="n">
        <v>2025</v>
      </c>
      <c r="I660" s="10" t="s">
        <v>2699</v>
      </c>
      <c r="J660" s="11" t="s">
        <v>2700</v>
      </c>
      <c r="K660" s="10" t="s">
        <v>2291</v>
      </c>
      <c r="L660" s="10"/>
    </row>
    <row r="661" customFormat="false" ht="35.05" hidden="false" customHeight="false" outlineLevel="0" collapsed="false">
      <c r="A661" s="10" t="s">
        <v>2796</v>
      </c>
      <c r="B661" s="10" t="s">
        <v>2127</v>
      </c>
      <c r="C661" s="10" t="s">
        <v>45</v>
      </c>
      <c r="D661" s="10"/>
      <c r="E661" s="10"/>
      <c r="F661" s="10" t="s">
        <v>2127</v>
      </c>
      <c r="G661" s="11" t="s">
        <v>2797</v>
      </c>
      <c r="H661" s="10" t="n">
        <v>2019</v>
      </c>
      <c r="I661" s="10" t="s">
        <v>2798</v>
      </c>
      <c r="J661" s="11" t="s">
        <v>2799</v>
      </c>
      <c r="K661" s="10" t="s">
        <v>49</v>
      </c>
      <c r="L661" s="10" t="s">
        <v>2800</v>
      </c>
    </row>
    <row r="662" customFormat="false" ht="23.85" hidden="false" customHeight="false" outlineLevel="0" collapsed="false">
      <c r="A662" s="10" t="s">
        <v>2801</v>
      </c>
      <c r="B662" s="10" t="s">
        <v>2127</v>
      </c>
      <c r="C662" s="10" t="s">
        <v>408</v>
      </c>
      <c r="D662" s="10" t="s">
        <v>1362</v>
      </c>
      <c r="E662" s="10" t="s">
        <v>409</v>
      </c>
      <c r="F662" s="10"/>
      <c r="G662" s="11" t="s">
        <v>1363</v>
      </c>
      <c r="H662" s="10" t="n">
        <v>2024</v>
      </c>
      <c r="I662" s="10" t="s">
        <v>2802</v>
      </c>
      <c r="J662" s="11" t="s">
        <v>2803</v>
      </c>
      <c r="K662" s="10" t="s">
        <v>49</v>
      </c>
      <c r="L662" s="10" t="s">
        <v>1366</v>
      </c>
    </row>
    <row r="663" customFormat="false" ht="15" hidden="false" customHeight="false" outlineLevel="0" collapsed="false">
      <c r="A663" s="10" t="s">
        <v>2804</v>
      </c>
      <c r="B663" s="10" t="s">
        <v>2127</v>
      </c>
      <c r="C663" s="10" t="s">
        <v>408</v>
      </c>
      <c r="D663" s="10" t="s">
        <v>557</v>
      </c>
      <c r="E663" s="10" t="s">
        <v>409</v>
      </c>
      <c r="F663" s="10"/>
      <c r="G663" s="11" t="s">
        <v>558</v>
      </c>
      <c r="H663" s="10" t="n">
        <v>2023</v>
      </c>
      <c r="I663" s="10" t="s">
        <v>2805</v>
      </c>
      <c r="J663" s="11" t="s">
        <v>560</v>
      </c>
      <c r="K663" s="10" t="s">
        <v>61</v>
      </c>
      <c r="L663" s="10" t="s">
        <v>561</v>
      </c>
    </row>
    <row r="664" customFormat="false" ht="23.85" hidden="false" customHeight="false" outlineLevel="0" collapsed="false">
      <c r="A664" s="10" t="s">
        <v>2806</v>
      </c>
      <c r="B664" s="10" t="s">
        <v>2127</v>
      </c>
      <c r="C664" s="10" t="s">
        <v>408</v>
      </c>
      <c r="D664" s="10" t="s">
        <v>137</v>
      </c>
      <c r="E664" s="10" t="s">
        <v>409</v>
      </c>
      <c r="F664" s="10"/>
      <c r="G664" s="11" t="s">
        <v>138</v>
      </c>
      <c r="H664" s="10" t="n">
        <v>2024</v>
      </c>
      <c r="I664" s="10" t="s">
        <v>2807</v>
      </c>
      <c r="J664" s="11" t="s">
        <v>2808</v>
      </c>
      <c r="K664" s="10" t="s">
        <v>49</v>
      </c>
      <c r="L664" s="10" t="s">
        <v>141</v>
      </c>
    </row>
    <row r="665" customFormat="false" ht="23.85" hidden="false" customHeight="false" outlineLevel="0" collapsed="false">
      <c r="A665" s="10" t="s">
        <v>2809</v>
      </c>
      <c r="B665" s="10" t="s">
        <v>2127</v>
      </c>
      <c r="C665" s="10" t="s">
        <v>45</v>
      </c>
      <c r="D665" s="10"/>
      <c r="E665" s="10"/>
      <c r="F665" s="10" t="s">
        <v>2127</v>
      </c>
      <c r="G665" s="11" t="s">
        <v>2810</v>
      </c>
      <c r="H665" s="10" t="n">
        <v>2025</v>
      </c>
      <c r="I665" s="10" t="s">
        <v>2811</v>
      </c>
      <c r="J665" s="11" t="s">
        <v>2462</v>
      </c>
      <c r="K665" s="10" t="s">
        <v>49</v>
      </c>
      <c r="L665" s="10" t="s">
        <v>2812</v>
      </c>
    </row>
    <row r="666" customFormat="false" ht="23.85" hidden="false" customHeight="false" outlineLevel="0" collapsed="false">
      <c r="A666" s="10" t="s">
        <v>2813</v>
      </c>
      <c r="B666" s="10" t="s">
        <v>2127</v>
      </c>
      <c r="C666" s="10" t="s">
        <v>408</v>
      </c>
      <c r="D666" s="10" t="s">
        <v>1292</v>
      </c>
      <c r="E666" s="10" t="s">
        <v>409</v>
      </c>
      <c r="F666" s="10"/>
      <c r="G666" s="11" t="s">
        <v>2814</v>
      </c>
      <c r="H666" s="10" t="n">
        <v>2018</v>
      </c>
      <c r="I666" s="10" t="s">
        <v>2815</v>
      </c>
      <c r="J666" s="11" t="s">
        <v>2816</v>
      </c>
      <c r="K666" s="10" t="s">
        <v>49</v>
      </c>
      <c r="L666" s="10" t="s">
        <v>1296</v>
      </c>
    </row>
    <row r="667" customFormat="false" ht="35.05" hidden="false" customHeight="false" outlineLevel="0" collapsed="false">
      <c r="A667" s="10" t="s">
        <v>2817</v>
      </c>
      <c r="B667" s="10" t="s">
        <v>2127</v>
      </c>
      <c r="C667" s="10" t="s">
        <v>45</v>
      </c>
      <c r="D667" s="10"/>
      <c r="E667" s="10"/>
      <c r="F667" s="10" t="s">
        <v>2127</v>
      </c>
      <c r="G667" s="11" t="s">
        <v>2818</v>
      </c>
      <c r="H667" s="10" t="n">
        <v>2021</v>
      </c>
      <c r="I667" s="10" t="s">
        <v>2819</v>
      </c>
      <c r="J667" s="11" t="s">
        <v>2820</v>
      </c>
      <c r="K667" s="10" t="s">
        <v>49</v>
      </c>
      <c r="L667" s="10" t="s">
        <v>2821</v>
      </c>
    </row>
    <row r="668" customFormat="false" ht="15" hidden="false" customHeight="false" outlineLevel="0" collapsed="false">
      <c r="A668" s="10" t="s">
        <v>2822</v>
      </c>
      <c r="B668" s="10" t="s">
        <v>2127</v>
      </c>
      <c r="C668" s="10" t="s">
        <v>408</v>
      </c>
      <c r="D668" s="10" t="s">
        <v>1168</v>
      </c>
      <c r="E668" s="10" t="s">
        <v>409</v>
      </c>
      <c r="F668" s="10"/>
      <c r="G668" s="11" t="s">
        <v>1169</v>
      </c>
      <c r="H668" s="10" t="n">
        <v>2026</v>
      </c>
      <c r="I668" s="10" t="s">
        <v>2823</v>
      </c>
      <c r="J668" s="11" t="s">
        <v>2824</v>
      </c>
      <c r="K668" s="10" t="s">
        <v>49</v>
      </c>
      <c r="L668" s="10" t="s">
        <v>1172</v>
      </c>
    </row>
    <row r="669" customFormat="false" ht="23.85" hidden="false" customHeight="false" outlineLevel="0" collapsed="false">
      <c r="A669" s="10" t="s">
        <v>2825</v>
      </c>
      <c r="B669" s="10" t="s">
        <v>2127</v>
      </c>
      <c r="C669" s="10" t="s">
        <v>45</v>
      </c>
      <c r="D669" s="10"/>
      <c r="E669" s="10"/>
      <c r="F669" s="10" t="s">
        <v>2127</v>
      </c>
      <c r="G669" s="11" t="s">
        <v>2826</v>
      </c>
      <c r="H669" s="10" t="n">
        <v>2020</v>
      </c>
      <c r="I669" s="10" t="s">
        <v>2827</v>
      </c>
      <c r="J669" s="11" t="s">
        <v>2828</v>
      </c>
      <c r="K669" s="10" t="s">
        <v>49</v>
      </c>
      <c r="L669" s="10" t="s">
        <v>2829</v>
      </c>
    </row>
    <row r="670" customFormat="false" ht="35.05" hidden="false" customHeight="false" outlineLevel="0" collapsed="false">
      <c r="A670" s="10" t="s">
        <v>2830</v>
      </c>
      <c r="B670" s="10" t="s">
        <v>2127</v>
      </c>
      <c r="C670" s="10" t="s">
        <v>45</v>
      </c>
      <c r="D670" s="10"/>
      <c r="E670" s="10"/>
      <c r="F670" s="10" t="s">
        <v>2127</v>
      </c>
      <c r="G670" s="11" t="s">
        <v>2831</v>
      </c>
      <c r="H670" s="10" t="n">
        <v>2024</v>
      </c>
      <c r="I670" s="10" t="s">
        <v>2832</v>
      </c>
      <c r="J670" s="11" t="s">
        <v>2833</v>
      </c>
      <c r="K670" s="10" t="s">
        <v>49</v>
      </c>
      <c r="L670" s="10" t="s">
        <v>2834</v>
      </c>
    </row>
    <row r="671" customFormat="false" ht="35.05" hidden="false" customHeight="false" outlineLevel="0" collapsed="false">
      <c r="A671" s="10" t="s">
        <v>2835</v>
      </c>
      <c r="B671" s="10" t="s">
        <v>2127</v>
      </c>
      <c r="C671" s="10" t="s">
        <v>45</v>
      </c>
      <c r="D671" s="10"/>
      <c r="E671" s="10"/>
      <c r="F671" s="10" t="s">
        <v>2127</v>
      </c>
      <c r="G671" s="11" t="s">
        <v>2836</v>
      </c>
      <c r="H671" s="10" t="n">
        <v>2019</v>
      </c>
      <c r="I671" s="10" t="s">
        <v>2837</v>
      </c>
      <c r="J671" s="11" t="s">
        <v>2838</v>
      </c>
      <c r="K671" s="10" t="s">
        <v>49</v>
      </c>
      <c r="L671" s="10" t="s">
        <v>2839</v>
      </c>
    </row>
    <row r="672" customFormat="false" ht="23.85" hidden="false" customHeight="false" outlineLevel="0" collapsed="false">
      <c r="A672" s="10" t="s">
        <v>2840</v>
      </c>
      <c r="B672" s="10" t="s">
        <v>2127</v>
      </c>
      <c r="C672" s="10" t="s">
        <v>45</v>
      </c>
      <c r="D672" s="10"/>
      <c r="E672" s="10"/>
      <c r="F672" s="10" t="s">
        <v>2127</v>
      </c>
      <c r="G672" s="11" t="s">
        <v>2841</v>
      </c>
      <c r="H672" s="10" t="n">
        <v>2022</v>
      </c>
      <c r="I672" s="10" t="s">
        <v>2842</v>
      </c>
      <c r="J672" s="11" t="s">
        <v>2843</v>
      </c>
      <c r="K672" s="10" t="s">
        <v>49</v>
      </c>
      <c r="L672" s="10" t="s">
        <v>2844</v>
      </c>
    </row>
    <row r="673" customFormat="false" ht="23.85" hidden="false" customHeight="false" outlineLevel="0" collapsed="false">
      <c r="A673" s="10" t="s">
        <v>2845</v>
      </c>
      <c r="B673" s="10" t="s">
        <v>2127</v>
      </c>
      <c r="C673" s="10" t="s">
        <v>408</v>
      </c>
      <c r="D673" s="10" t="s">
        <v>1641</v>
      </c>
      <c r="E673" s="10" t="s">
        <v>409</v>
      </c>
      <c r="F673" s="10"/>
      <c r="G673" s="11" t="s">
        <v>2846</v>
      </c>
      <c r="H673" s="10" t="n">
        <v>2018</v>
      </c>
      <c r="I673" s="10" t="s">
        <v>2847</v>
      </c>
      <c r="J673" s="11" t="s">
        <v>2500</v>
      </c>
      <c r="K673" s="10" t="s">
        <v>49</v>
      </c>
      <c r="L673" s="10" t="s">
        <v>1644</v>
      </c>
    </row>
    <row r="674" customFormat="false" ht="35.05" hidden="false" customHeight="false" outlineLevel="0" collapsed="false">
      <c r="A674" s="10" t="s">
        <v>2848</v>
      </c>
      <c r="B674" s="10" t="s">
        <v>2127</v>
      </c>
      <c r="C674" s="10" t="s">
        <v>45</v>
      </c>
      <c r="D674" s="10"/>
      <c r="E674" s="10"/>
      <c r="F674" s="10" t="s">
        <v>2127</v>
      </c>
      <c r="G674" s="11" t="s">
        <v>2849</v>
      </c>
      <c r="H674" s="10" t="n">
        <v>2023</v>
      </c>
      <c r="I674" s="10" t="s">
        <v>2850</v>
      </c>
      <c r="J674" s="11" t="s">
        <v>2851</v>
      </c>
      <c r="K674" s="10" t="s">
        <v>49</v>
      </c>
      <c r="L674" s="10" t="s">
        <v>2852</v>
      </c>
    </row>
    <row r="675" customFormat="false" ht="23.85" hidden="false" customHeight="false" outlineLevel="0" collapsed="false">
      <c r="A675" s="10" t="s">
        <v>2853</v>
      </c>
      <c r="B675" s="10" t="s">
        <v>2127</v>
      </c>
      <c r="C675" s="10" t="s">
        <v>2286</v>
      </c>
      <c r="D675" s="10"/>
      <c r="E675" s="10" t="s">
        <v>2651</v>
      </c>
      <c r="F675" s="10"/>
      <c r="G675" s="11" t="s">
        <v>2854</v>
      </c>
      <c r="H675" s="10" t="n">
        <v>2019</v>
      </c>
      <c r="I675" s="10" t="s">
        <v>2855</v>
      </c>
      <c r="J675" s="11" t="s">
        <v>2856</v>
      </c>
      <c r="K675" s="10" t="s">
        <v>2655</v>
      </c>
      <c r="L675" s="10" t="s">
        <v>2857</v>
      </c>
    </row>
    <row r="676" customFormat="false" ht="23.85" hidden="false" customHeight="false" outlineLevel="0" collapsed="false">
      <c r="A676" s="10" t="s">
        <v>2858</v>
      </c>
      <c r="B676" s="10" t="s">
        <v>2127</v>
      </c>
      <c r="C676" s="10" t="s">
        <v>45</v>
      </c>
      <c r="D676" s="10"/>
      <c r="E676" s="10"/>
      <c r="F676" s="10" t="s">
        <v>2127</v>
      </c>
      <c r="G676" s="11" t="s">
        <v>2859</v>
      </c>
      <c r="H676" s="10" t="n">
        <v>2022</v>
      </c>
      <c r="I676" s="10" t="s">
        <v>2860</v>
      </c>
      <c r="J676" s="11" t="s">
        <v>2861</v>
      </c>
      <c r="K676" s="10" t="s">
        <v>49</v>
      </c>
      <c r="L676" s="10" t="s">
        <v>2862</v>
      </c>
    </row>
    <row r="677" customFormat="false" ht="23.85" hidden="false" customHeight="false" outlineLevel="0" collapsed="false">
      <c r="A677" s="10" t="s">
        <v>2863</v>
      </c>
      <c r="B677" s="10" t="s">
        <v>2127</v>
      </c>
      <c r="C677" s="10" t="s">
        <v>45</v>
      </c>
      <c r="D677" s="10"/>
      <c r="E677" s="10"/>
      <c r="F677" s="10" t="s">
        <v>2127</v>
      </c>
      <c r="G677" s="11" t="s">
        <v>2864</v>
      </c>
      <c r="H677" s="10" t="n">
        <v>2020</v>
      </c>
      <c r="I677" s="10" t="s">
        <v>2865</v>
      </c>
      <c r="J677" s="11" t="s">
        <v>2549</v>
      </c>
      <c r="K677" s="10" t="s">
        <v>49</v>
      </c>
      <c r="L677" s="10" t="s">
        <v>2866</v>
      </c>
    </row>
    <row r="678" customFormat="false" ht="23.85" hidden="false" customHeight="false" outlineLevel="0" collapsed="false">
      <c r="A678" s="10" t="s">
        <v>2867</v>
      </c>
      <c r="B678" s="10" t="s">
        <v>2127</v>
      </c>
      <c r="C678" s="10" t="s">
        <v>45</v>
      </c>
      <c r="D678" s="10"/>
      <c r="E678" s="10"/>
      <c r="F678" s="10" t="s">
        <v>2127</v>
      </c>
      <c r="G678" s="11" t="s">
        <v>2868</v>
      </c>
      <c r="H678" s="10" t="n">
        <v>2021</v>
      </c>
      <c r="I678" s="10" t="s">
        <v>2869</v>
      </c>
      <c r="J678" s="11" t="s">
        <v>2870</v>
      </c>
      <c r="K678" s="10" t="s">
        <v>49</v>
      </c>
      <c r="L678" s="10" t="s">
        <v>2871</v>
      </c>
    </row>
    <row r="679" customFormat="false" ht="23.85" hidden="false" customHeight="false" outlineLevel="0" collapsed="false">
      <c r="A679" s="10" t="s">
        <v>2872</v>
      </c>
      <c r="B679" s="10" t="s">
        <v>2127</v>
      </c>
      <c r="C679" s="10" t="s">
        <v>45</v>
      </c>
      <c r="D679" s="10"/>
      <c r="E679" s="10"/>
      <c r="F679" s="10" t="s">
        <v>2127</v>
      </c>
      <c r="G679" s="11" t="s">
        <v>2873</v>
      </c>
      <c r="H679" s="10" t="n">
        <v>2019</v>
      </c>
      <c r="I679" s="10" t="s">
        <v>2874</v>
      </c>
      <c r="J679" s="11" t="s">
        <v>2875</v>
      </c>
      <c r="K679" s="10" t="s">
        <v>49</v>
      </c>
      <c r="L679" s="10" t="s">
        <v>2876</v>
      </c>
    </row>
    <row r="680" customFormat="false" ht="23.85" hidden="false" customHeight="false" outlineLevel="0" collapsed="false">
      <c r="A680" s="10" t="s">
        <v>2877</v>
      </c>
      <c r="B680" s="10" t="s">
        <v>2127</v>
      </c>
      <c r="C680" s="10" t="s">
        <v>408</v>
      </c>
      <c r="D680" s="10" t="s">
        <v>1619</v>
      </c>
      <c r="E680" s="10" t="s">
        <v>409</v>
      </c>
      <c r="F680" s="10"/>
      <c r="G680" s="11" t="s">
        <v>1620</v>
      </c>
      <c r="H680" s="10" t="n">
        <v>2025</v>
      </c>
      <c r="I680" s="10" t="s">
        <v>2228</v>
      </c>
      <c r="J680" s="11" t="s">
        <v>1621</v>
      </c>
      <c r="K680" s="10" t="s">
        <v>61</v>
      </c>
      <c r="L680" s="10" t="s">
        <v>1622</v>
      </c>
    </row>
    <row r="681" customFormat="false" ht="35.05" hidden="false" customHeight="false" outlineLevel="0" collapsed="false">
      <c r="A681" s="10" t="s">
        <v>2878</v>
      </c>
      <c r="B681" s="10" t="s">
        <v>2127</v>
      </c>
      <c r="C681" s="10" t="s">
        <v>2286</v>
      </c>
      <c r="D681" s="10"/>
      <c r="E681" s="10" t="s">
        <v>2588</v>
      </c>
      <c r="F681" s="10"/>
      <c r="G681" s="11" t="s">
        <v>2879</v>
      </c>
      <c r="H681" s="10" t="n">
        <v>2025</v>
      </c>
      <c r="I681" s="10" t="s">
        <v>2699</v>
      </c>
      <c r="J681" s="11" t="s">
        <v>2700</v>
      </c>
      <c r="K681" s="10" t="s">
        <v>2291</v>
      </c>
      <c r="L681" s="10"/>
    </row>
    <row r="682" customFormat="false" ht="23.85" hidden="false" customHeight="false" outlineLevel="0" collapsed="false">
      <c r="A682" s="10" t="s">
        <v>2880</v>
      </c>
      <c r="B682" s="10" t="s">
        <v>2127</v>
      </c>
      <c r="C682" s="10" t="s">
        <v>45</v>
      </c>
      <c r="D682" s="10"/>
      <c r="E682" s="10"/>
      <c r="F682" s="10" t="s">
        <v>2127</v>
      </c>
      <c r="G682" s="11" t="s">
        <v>2881</v>
      </c>
      <c r="H682" s="10" t="n">
        <v>2024</v>
      </c>
      <c r="I682" s="10" t="s">
        <v>2882</v>
      </c>
      <c r="J682" s="11" t="s">
        <v>2883</v>
      </c>
      <c r="K682" s="10" t="s">
        <v>49</v>
      </c>
      <c r="L682" s="10" t="s">
        <v>2884</v>
      </c>
    </row>
    <row r="683" customFormat="false" ht="35.05" hidden="false" customHeight="false" outlineLevel="0" collapsed="false">
      <c r="A683" s="10" t="s">
        <v>2885</v>
      </c>
      <c r="B683" s="10" t="s">
        <v>2127</v>
      </c>
      <c r="C683" s="10" t="s">
        <v>45</v>
      </c>
      <c r="D683" s="10"/>
      <c r="E683" s="10"/>
      <c r="F683" s="10" t="s">
        <v>2127</v>
      </c>
      <c r="G683" s="11" t="s">
        <v>2886</v>
      </c>
      <c r="H683" s="10" t="n">
        <v>2024</v>
      </c>
      <c r="I683" s="10" t="s">
        <v>2887</v>
      </c>
      <c r="J683" s="11" t="s">
        <v>2888</v>
      </c>
      <c r="K683" s="10" t="s">
        <v>49</v>
      </c>
      <c r="L683" s="10" t="s">
        <v>2889</v>
      </c>
    </row>
    <row r="684" customFormat="false" ht="23.85" hidden="false" customHeight="false" outlineLevel="0" collapsed="false">
      <c r="A684" s="10" t="s">
        <v>2890</v>
      </c>
      <c r="B684" s="10" t="s">
        <v>2127</v>
      </c>
      <c r="C684" s="10" t="s">
        <v>408</v>
      </c>
      <c r="D684" s="10" t="s">
        <v>308</v>
      </c>
      <c r="E684" s="10" t="s">
        <v>409</v>
      </c>
      <c r="F684" s="10"/>
      <c r="G684" s="11" t="s">
        <v>309</v>
      </c>
      <c r="H684" s="10" t="n">
        <v>2023</v>
      </c>
      <c r="I684" s="10" t="s">
        <v>2891</v>
      </c>
      <c r="J684" s="11" t="s">
        <v>2892</v>
      </c>
      <c r="K684" s="10" t="s">
        <v>49</v>
      </c>
      <c r="L684" s="10" t="s">
        <v>312</v>
      </c>
    </row>
    <row r="685" customFormat="false" ht="23.85" hidden="false" customHeight="false" outlineLevel="0" collapsed="false">
      <c r="A685" s="10" t="s">
        <v>2893</v>
      </c>
      <c r="B685" s="10" t="s">
        <v>2127</v>
      </c>
      <c r="C685" s="10" t="s">
        <v>408</v>
      </c>
      <c r="D685" s="10" t="s">
        <v>771</v>
      </c>
      <c r="E685" s="10" t="s">
        <v>409</v>
      </c>
      <c r="F685" s="10"/>
      <c r="G685" s="11" t="s">
        <v>772</v>
      </c>
      <c r="H685" s="10" t="n">
        <v>2023</v>
      </c>
      <c r="I685" s="10" t="s">
        <v>2159</v>
      </c>
      <c r="J685" s="11" t="s">
        <v>2892</v>
      </c>
      <c r="K685" s="10" t="s">
        <v>49</v>
      </c>
      <c r="L685" s="10" t="s">
        <v>774</v>
      </c>
    </row>
    <row r="686" customFormat="false" ht="23.85" hidden="false" customHeight="false" outlineLevel="0" collapsed="false">
      <c r="A686" s="10" t="s">
        <v>2894</v>
      </c>
      <c r="B686" s="10" t="s">
        <v>2127</v>
      </c>
      <c r="C686" s="10" t="s">
        <v>45</v>
      </c>
      <c r="D686" s="10"/>
      <c r="E686" s="10"/>
      <c r="F686" s="10" t="s">
        <v>2127</v>
      </c>
      <c r="G686" s="11" t="s">
        <v>2895</v>
      </c>
      <c r="H686" s="10" t="n">
        <v>2022</v>
      </c>
      <c r="I686" s="10" t="s">
        <v>2540</v>
      </c>
      <c r="J686" s="11" t="s">
        <v>2896</v>
      </c>
      <c r="K686" s="10" t="s">
        <v>49</v>
      </c>
      <c r="L686" s="10" t="s">
        <v>2897</v>
      </c>
    </row>
    <row r="687" customFormat="false" ht="35.05" hidden="false" customHeight="false" outlineLevel="0" collapsed="false">
      <c r="A687" s="10" t="s">
        <v>2898</v>
      </c>
      <c r="B687" s="10" t="s">
        <v>2127</v>
      </c>
      <c r="C687" s="10" t="s">
        <v>45</v>
      </c>
      <c r="D687" s="10"/>
      <c r="E687" s="10"/>
      <c r="F687" s="10" t="s">
        <v>2127</v>
      </c>
      <c r="G687" s="11" t="s">
        <v>2899</v>
      </c>
      <c r="H687" s="10" t="n">
        <v>2026</v>
      </c>
      <c r="I687" s="10" t="s">
        <v>2900</v>
      </c>
      <c r="J687" s="11" t="s">
        <v>2194</v>
      </c>
      <c r="K687" s="10" t="s">
        <v>49</v>
      </c>
      <c r="L687" s="10" t="s">
        <v>2901</v>
      </c>
    </row>
    <row r="688" customFormat="false" ht="23.85" hidden="false" customHeight="false" outlineLevel="0" collapsed="false">
      <c r="A688" s="10" t="s">
        <v>2902</v>
      </c>
      <c r="B688" s="10" t="s">
        <v>2127</v>
      </c>
      <c r="C688" s="10" t="s">
        <v>45</v>
      </c>
      <c r="D688" s="10"/>
      <c r="E688" s="10"/>
      <c r="F688" s="10" t="s">
        <v>2127</v>
      </c>
      <c r="G688" s="11" t="s">
        <v>2903</v>
      </c>
      <c r="H688" s="10" t="n">
        <v>2025</v>
      </c>
      <c r="I688" s="10" t="s">
        <v>2904</v>
      </c>
      <c r="J688" s="11" t="s">
        <v>2462</v>
      </c>
      <c r="K688" s="10" t="s">
        <v>49</v>
      </c>
      <c r="L688" s="10" t="s">
        <v>2905</v>
      </c>
    </row>
    <row r="689" customFormat="false" ht="35.05" hidden="false" customHeight="false" outlineLevel="0" collapsed="false">
      <c r="A689" s="10" t="s">
        <v>2906</v>
      </c>
      <c r="B689" s="10" t="s">
        <v>2127</v>
      </c>
      <c r="C689" s="10" t="s">
        <v>2286</v>
      </c>
      <c r="D689" s="10"/>
      <c r="E689" s="10" t="s">
        <v>2588</v>
      </c>
      <c r="F689" s="10"/>
      <c r="G689" s="11" t="s">
        <v>2907</v>
      </c>
      <c r="H689" s="10" t="n">
        <v>2025</v>
      </c>
      <c r="I689" s="10" t="s">
        <v>2699</v>
      </c>
      <c r="J689" s="11" t="s">
        <v>2700</v>
      </c>
      <c r="K689" s="10" t="s">
        <v>2291</v>
      </c>
      <c r="L689" s="10"/>
    </row>
    <row r="690" customFormat="false" ht="15" hidden="false" customHeight="false" outlineLevel="0" collapsed="false">
      <c r="A690" s="10" t="s">
        <v>2908</v>
      </c>
      <c r="B690" s="10" t="s">
        <v>2127</v>
      </c>
      <c r="C690" s="10" t="s">
        <v>2286</v>
      </c>
      <c r="D690" s="10"/>
      <c r="E690" s="10" t="s">
        <v>2651</v>
      </c>
      <c r="F690" s="10"/>
      <c r="G690" s="11" t="s">
        <v>2909</v>
      </c>
      <c r="H690" s="10" t="n">
        <v>2020</v>
      </c>
      <c r="I690" s="10" t="s">
        <v>2910</v>
      </c>
      <c r="J690" s="11" t="s">
        <v>2911</v>
      </c>
      <c r="K690" s="10" t="s">
        <v>2655</v>
      </c>
      <c r="L690" s="10" t="s">
        <v>2912</v>
      </c>
    </row>
    <row r="691" customFormat="false" ht="23.85" hidden="false" customHeight="false" outlineLevel="0" collapsed="false">
      <c r="A691" s="10" t="s">
        <v>2913</v>
      </c>
      <c r="B691" s="10" t="s">
        <v>2127</v>
      </c>
      <c r="C691" s="10" t="s">
        <v>45</v>
      </c>
      <c r="D691" s="10"/>
      <c r="E691" s="10"/>
      <c r="F691" s="10" t="s">
        <v>2127</v>
      </c>
      <c r="G691" s="11" t="s">
        <v>2914</v>
      </c>
      <c r="H691" s="10" t="n">
        <v>2019</v>
      </c>
      <c r="I691" s="10" t="s">
        <v>2915</v>
      </c>
      <c r="J691" s="11" t="s">
        <v>2916</v>
      </c>
      <c r="K691" s="10" t="s">
        <v>49</v>
      </c>
      <c r="L691" s="10" t="s">
        <v>2917</v>
      </c>
    </row>
    <row r="692" customFormat="false" ht="23.85" hidden="false" customHeight="false" outlineLevel="0" collapsed="false">
      <c r="A692" s="10" t="s">
        <v>2918</v>
      </c>
      <c r="B692" s="10" t="s">
        <v>2127</v>
      </c>
      <c r="C692" s="10" t="s">
        <v>408</v>
      </c>
      <c r="D692" s="10" t="s">
        <v>1931</v>
      </c>
      <c r="E692" s="10" t="s">
        <v>409</v>
      </c>
      <c r="F692" s="10"/>
      <c r="G692" s="11" t="s">
        <v>1932</v>
      </c>
      <c r="H692" s="10" t="n">
        <v>2026</v>
      </c>
      <c r="I692" s="10" t="s">
        <v>2919</v>
      </c>
      <c r="J692" s="11" t="s">
        <v>1934</v>
      </c>
      <c r="K692" s="10" t="s">
        <v>61</v>
      </c>
      <c r="L692" s="10" t="s">
        <v>1935</v>
      </c>
    </row>
    <row r="693" customFormat="false" ht="23.85" hidden="false" customHeight="false" outlineLevel="0" collapsed="false">
      <c r="A693" s="10" t="s">
        <v>2920</v>
      </c>
      <c r="B693" s="10" t="s">
        <v>2127</v>
      </c>
      <c r="C693" s="10" t="s">
        <v>45</v>
      </c>
      <c r="D693" s="10"/>
      <c r="E693" s="10"/>
      <c r="F693" s="10" t="s">
        <v>2127</v>
      </c>
      <c r="G693" s="11" t="s">
        <v>2921</v>
      </c>
      <c r="H693" s="10" t="n">
        <v>2022</v>
      </c>
      <c r="I693" s="10" t="s">
        <v>2922</v>
      </c>
      <c r="J693" s="11" t="s">
        <v>2923</v>
      </c>
      <c r="K693" s="10" t="s">
        <v>61</v>
      </c>
      <c r="L693" s="10" t="s">
        <v>2924</v>
      </c>
    </row>
    <row r="694" customFormat="false" ht="23.85" hidden="false" customHeight="false" outlineLevel="0" collapsed="false">
      <c r="A694" s="10" t="s">
        <v>2925</v>
      </c>
      <c r="B694" s="10" t="s">
        <v>2127</v>
      </c>
      <c r="C694" s="10" t="s">
        <v>45</v>
      </c>
      <c r="D694" s="10"/>
      <c r="E694" s="10"/>
      <c r="F694" s="10" t="s">
        <v>2127</v>
      </c>
      <c r="G694" s="11" t="s">
        <v>2926</v>
      </c>
      <c r="H694" s="10" t="n">
        <v>2018</v>
      </c>
      <c r="I694" s="10" t="s">
        <v>2927</v>
      </c>
      <c r="J694" s="11" t="s">
        <v>2554</v>
      </c>
      <c r="K694" s="10" t="s">
        <v>61</v>
      </c>
      <c r="L694" s="10" t="s">
        <v>2928</v>
      </c>
    </row>
    <row r="695" customFormat="false" ht="23.85" hidden="false" customHeight="false" outlineLevel="0" collapsed="false">
      <c r="A695" s="10" t="s">
        <v>2929</v>
      </c>
      <c r="B695" s="10" t="s">
        <v>2127</v>
      </c>
      <c r="C695" s="10" t="s">
        <v>45</v>
      </c>
      <c r="D695" s="10"/>
      <c r="E695" s="10"/>
      <c r="F695" s="10" t="s">
        <v>2127</v>
      </c>
      <c r="G695" s="11" t="s">
        <v>2930</v>
      </c>
      <c r="H695" s="10" t="n">
        <v>2021</v>
      </c>
      <c r="I695" s="10" t="s">
        <v>2931</v>
      </c>
      <c r="J695" s="11" t="s">
        <v>2932</v>
      </c>
      <c r="K695" s="10" t="s">
        <v>49</v>
      </c>
      <c r="L695" s="10" t="s">
        <v>2933</v>
      </c>
    </row>
    <row r="696" customFormat="false" ht="23.85" hidden="false" customHeight="false" outlineLevel="0" collapsed="false">
      <c r="A696" s="10" t="s">
        <v>2934</v>
      </c>
      <c r="B696" s="10" t="s">
        <v>2127</v>
      </c>
      <c r="C696" s="10" t="s">
        <v>408</v>
      </c>
      <c r="D696" s="10" t="s">
        <v>303</v>
      </c>
      <c r="E696" s="10" t="s">
        <v>409</v>
      </c>
      <c r="F696" s="10"/>
      <c r="G696" s="11" t="s">
        <v>304</v>
      </c>
      <c r="H696" s="10" t="n">
        <v>2023</v>
      </c>
      <c r="I696" s="10" t="s">
        <v>2935</v>
      </c>
      <c r="J696" s="11" t="s">
        <v>2936</v>
      </c>
      <c r="K696" s="10" t="s">
        <v>49</v>
      </c>
      <c r="L696" s="10" t="s">
        <v>307</v>
      </c>
    </row>
    <row r="697" customFormat="false" ht="23.85" hidden="false" customHeight="false" outlineLevel="0" collapsed="false">
      <c r="A697" s="10" t="s">
        <v>2937</v>
      </c>
      <c r="B697" s="10" t="s">
        <v>2127</v>
      </c>
      <c r="C697" s="10" t="s">
        <v>45</v>
      </c>
      <c r="D697" s="10"/>
      <c r="E697" s="10"/>
      <c r="F697" s="10" t="s">
        <v>2127</v>
      </c>
      <c r="G697" s="11" t="s">
        <v>2938</v>
      </c>
      <c r="H697" s="10" t="n">
        <v>2022</v>
      </c>
      <c r="I697" s="10" t="s">
        <v>2922</v>
      </c>
      <c r="J697" s="11" t="s">
        <v>2939</v>
      </c>
      <c r="K697" s="10" t="s">
        <v>49</v>
      </c>
      <c r="L697" s="10" t="s">
        <v>2940</v>
      </c>
    </row>
    <row r="698" customFormat="false" ht="35.05" hidden="false" customHeight="false" outlineLevel="0" collapsed="false">
      <c r="A698" s="10" t="s">
        <v>2941</v>
      </c>
      <c r="B698" s="10" t="s">
        <v>2127</v>
      </c>
      <c r="C698" s="10" t="s">
        <v>45</v>
      </c>
      <c r="D698" s="10"/>
      <c r="E698" s="10"/>
      <c r="F698" s="10" t="s">
        <v>2127</v>
      </c>
      <c r="G698" s="11" t="s">
        <v>2942</v>
      </c>
      <c r="H698" s="10" t="n">
        <v>2022</v>
      </c>
      <c r="I698" s="10" t="s">
        <v>2943</v>
      </c>
      <c r="J698" s="11" t="s">
        <v>2944</v>
      </c>
      <c r="K698" s="10" t="s">
        <v>49</v>
      </c>
      <c r="L698" s="10" t="s">
        <v>2945</v>
      </c>
    </row>
    <row r="699" customFormat="false" ht="23.85" hidden="false" customHeight="false" outlineLevel="0" collapsed="false">
      <c r="A699" s="10" t="s">
        <v>2946</v>
      </c>
      <c r="B699" s="10" t="s">
        <v>2127</v>
      </c>
      <c r="C699" s="10" t="s">
        <v>45</v>
      </c>
      <c r="D699" s="10"/>
      <c r="E699" s="10"/>
      <c r="F699" s="10" t="s">
        <v>2127</v>
      </c>
      <c r="G699" s="11" t="s">
        <v>2947</v>
      </c>
      <c r="H699" s="10" t="n">
        <v>2025</v>
      </c>
      <c r="I699" s="10" t="s">
        <v>2948</v>
      </c>
      <c r="J699" s="11" t="s">
        <v>2949</v>
      </c>
      <c r="K699" s="10" t="s">
        <v>61</v>
      </c>
      <c r="L699" s="10" t="s">
        <v>2950</v>
      </c>
    </row>
    <row r="700" customFormat="false" ht="35.05" hidden="false" customHeight="false" outlineLevel="0" collapsed="false">
      <c r="A700" s="10" t="s">
        <v>2951</v>
      </c>
      <c r="B700" s="10" t="s">
        <v>2127</v>
      </c>
      <c r="C700" s="10" t="s">
        <v>408</v>
      </c>
      <c r="D700" s="10" t="s">
        <v>1033</v>
      </c>
      <c r="E700" s="10" t="s">
        <v>409</v>
      </c>
      <c r="F700" s="10"/>
      <c r="G700" s="11" t="s">
        <v>1034</v>
      </c>
      <c r="H700" s="10" t="n">
        <v>2025</v>
      </c>
      <c r="I700" s="10" t="s">
        <v>2952</v>
      </c>
      <c r="J700" s="11" t="s">
        <v>2953</v>
      </c>
      <c r="K700" s="10" t="s">
        <v>49</v>
      </c>
      <c r="L700" s="10" t="s">
        <v>1037</v>
      </c>
    </row>
    <row r="701" customFormat="false" ht="23.85" hidden="false" customHeight="false" outlineLevel="0" collapsed="false">
      <c r="A701" s="10" t="s">
        <v>2954</v>
      </c>
      <c r="B701" s="10" t="s">
        <v>2127</v>
      </c>
      <c r="C701" s="10" t="s">
        <v>408</v>
      </c>
      <c r="D701" s="10" t="s">
        <v>452</v>
      </c>
      <c r="E701" s="10" t="s">
        <v>409</v>
      </c>
      <c r="F701" s="10"/>
      <c r="G701" s="11" t="s">
        <v>2955</v>
      </c>
      <c r="H701" s="10" t="n">
        <v>2020</v>
      </c>
      <c r="I701" s="10" t="s">
        <v>2956</v>
      </c>
      <c r="J701" s="11" t="s">
        <v>2957</v>
      </c>
      <c r="K701" s="10" t="s">
        <v>49</v>
      </c>
      <c r="L701" s="10" t="s">
        <v>456</v>
      </c>
    </row>
    <row r="702" customFormat="false" ht="23.85" hidden="false" customHeight="false" outlineLevel="0" collapsed="false">
      <c r="A702" s="10" t="s">
        <v>2958</v>
      </c>
      <c r="B702" s="10" t="s">
        <v>2127</v>
      </c>
      <c r="C702" s="10" t="s">
        <v>45</v>
      </c>
      <c r="D702" s="10"/>
      <c r="E702" s="10"/>
      <c r="F702" s="10" t="s">
        <v>2127</v>
      </c>
      <c r="G702" s="11" t="s">
        <v>2959</v>
      </c>
      <c r="H702" s="10" t="n">
        <v>2022</v>
      </c>
      <c r="I702" s="10" t="s">
        <v>2960</v>
      </c>
      <c r="J702" s="11" t="s">
        <v>2472</v>
      </c>
      <c r="K702" s="10" t="s">
        <v>61</v>
      </c>
      <c r="L702" s="10" t="s">
        <v>2961</v>
      </c>
    </row>
    <row r="703" customFormat="false" ht="23.85" hidden="false" customHeight="false" outlineLevel="0" collapsed="false">
      <c r="A703" s="10" t="s">
        <v>2962</v>
      </c>
      <c r="B703" s="10" t="s">
        <v>2127</v>
      </c>
      <c r="C703" s="10" t="s">
        <v>408</v>
      </c>
      <c r="D703" s="10" t="s">
        <v>235</v>
      </c>
      <c r="E703" s="10" t="s">
        <v>409</v>
      </c>
      <c r="F703" s="10"/>
      <c r="G703" s="11" t="s">
        <v>236</v>
      </c>
      <c r="H703" s="10" t="n">
        <v>2025</v>
      </c>
      <c r="I703" s="10" t="s">
        <v>2963</v>
      </c>
      <c r="J703" s="11" t="s">
        <v>2964</v>
      </c>
      <c r="K703" s="10" t="s">
        <v>49</v>
      </c>
      <c r="L703" s="10" t="s">
        <v>239</v>
      </c>
    </row>
    <row r="704" customFormat="false" ht="23.85" hidden="false" customHeight="false" outlineLevel="0" collapsed="false">
      <c r="A704" s="10" t="s">
        <v>2965</v>
      </c>
      <c r="B704" s="10" t="s">
        <v>2127</v>
      </c>
      <c r="C704" s="10" t="s">
        <v>408</v>
      </c>
      <c r="D704" s="10" t="s">
        <v>240</v>
      </c>
      <c r="E704" s="10" t="s">
        <v>409</v>
      </c>
      <c r="F704" s="10"/>
      <c r="G704" s="11" t="s">
        <v>241</v>
      </c>
      <c r="H704" s="10" t="n">
        <v>2025</v>
      </c>
      <c r="I704" s="10" t="s">
        <v>2348</v>
      </c>
      <c r="J704" s="11" t="s">
        <v>2966</v>
      </c>
      <c r="K704" s="10" t="s">
        <v>49</v>
      </c>
      <c r="L704" s="10" t="s">
        <v>244</v>
      </c>
    </row>
    <row r="705" customFormat="false" ht="15" hidden="false" customHeight="false" outlineLevel="0" collapsed="false">
      <c r="A705" s="10" t="s">
        <v>2967</v>
      </c>
      <c r="B705" s="10" t="s">
        <v>2127</v>
      </c>
      <c r="C705" s="10" t="s">
        <v>45</v>
      </c>
      <c r="D705" s="10"/>
      <c r="E705" s="10"/>
      <c r="F705" s="10" t="s">
        <v>2127</v>
      </c>
      <c r="G705" s="11" t="s">
        <v>2968</v>
      </c>
      <c r="H705" s="10" t="n">
        <v>2021</v>
      </c>
      <c r="I705" s="10" t="s">
        <v>2969</v>
      </c>
      <c r="J705" s="11" t="s">
        <v>2107</v>
      </c>
      <c r="K705" s="10" t="s">
        <v>61</v>
      </c>
      <c r="L705" s="10" t="s">
        <v>2970</v>
      </c>
    </row>
    <row r="706" customFormat="false" ht="35.05" hidden="false" customHeight="false" outlineLevel="0" collapsed="false">
      <c r="A706" s="10" t="s">
        <v>2971</v>
      </c>
      <c r="B706" s="10" t="s">
        <v>2127</v>
      </c>
      <c r="C706" s="10" t="s">
        <v>45</v>
      </c>
      <c r="D706" s="10"/>
      <c r="E706" s="10"/>
      <c r="F706" s="10" t="s">
        <v>2127</v>
      </c>
      <c r="G706" s="11" t="s">
        <v>2972</v>
      </c>
      <c r="H706" s="10" t="n">
        <v>2025</v>
      </c>
      <c r="I706" s="10" t="s">
        <v>2973</v>
      </c>
      <c r="J706" s="11" t="s">
        <v>2974</v>
      </c>
      <c r="K706" s="10" t="s">
        <v>49</v>
      </c>
      <c r="L706" s="10" t="s">
        <v>2975</v>
      </c>
    </row>
    <row r="707" customFormat="false" ht="23.85" hidden="false" customHeight="false" outlineLevel="0" collapsed="false">
      <c r="A707" s="10" t="s">
        <v>2976</v>
      </c>
      <c r="B707" s="10" t="s">
        <v>2127</v>
      </c>
      <c r="C707" s="10" t="s">
        <v>45</v>
      </c>
      <c r="D707" s="10"/>
      <c r="E707" s="10"/>
      <c r="F707" s="10" t="s">
        <v>2127</v>
      </c>
      <c r="G707" s="11" t="s">
        <v>2977</v>
      </c>
      <c r="H707" s="10" t="n">
        <v>2026</v>
      </c>
      <c r="I707" s="10" t="s">
        <v>2978</v>
      </c>
      <c r="J707" s="11" t="s">
        <v>2979</v>
      </c>
      <c r="K707" s="10" t="s">
        <v>49</v>
      </c>
      <c r="L707" s="10" t="s">
        <v>2980</v>
      </c>
    </row>
    <row r="708" customFormat="false" ht="23.85" hidden="false" customHeight="false" outlineLevel="0" collapsed="false">
      <c r="A708" s="10" t="s">
        <v>2981</v>
      </c>
      <c r="B708" s="10" t="s">
        <v>2127</v>
      </c>
      <c r="C708" s="10" t="s">
        <v>408</v>
      </c>
      <c r="D708" s="10" t="s">
        <v>2017</v>
      </c>
      <c r="E708" s="10" t="s">
        <v>409</v>
      </c>
      <c r="F708" s="10"/>
      <c r="G708" s="11" t="s">
        <v>2018</v>
      </c>
      <c r="H708" s="10" t="n">
        <v>2023</v>
      </c>
      <c r="I708" s="10" t="s">
        <v>2982</v>
      </c>
      <c r="J708" s="11" t="s">
        <v>2983</v>
      </c>
      <c r="K708" s="10" t="s">
        <v>49</v>
      </c>
      <c r="L708" s="10" t="s">
        <v>2021</v>
      </c>
    </row>
    <row r="709" customFormat="false" ht="35.05" hidden="false" customHeight="false" outlineLevel="0" collapsed="false">
      <c r="A709" s="10" t="s">
        <v>2984</v>
      </c>
      <c r="B709" s="10" t="s">
        <v>2127</v>
      </c>
      <c r="C709" s="10" t="s">
        <v>2286</v>
      </c>
      <c r="D709" s="10"/>
      <c r="E709" s="10" t="s">
        <v>2588</v>
      </c>
      <c r="F709" s="10"/>
      <c r="G709" s="11" t="s">
        <v>2985</v>
      </c>
      <c r="H709" s="10" t="n">
        <v>2025</v>
      </c>
      <c r="I709" s="10" t="s">
        <v>2699</v>
      </c>
      <c r="J709" s="11" t="s">
        <v>2700</v>
      </c>
      <c r="K709" s="10" t="s">
        <v>2291</v>
      </c>
      <c r="L709" s="10"/>
    </row>
    <row r="710" customFormat="false" ht="35.05" hidden="false" customHeight="false" outlineLevel="0" collapsed="false">
      <c r="A710" s="10" t="s">
        <v>2986</v>
      </c>
      <c r="B710" s="10" t="s">
        <v>2127</v>
      </c>
      <c r="C710" s="10" t="s">
        <v>408</v>
      </c>
      <c r="D710" s="10" t="s">
        <v>1808</v>
      </c>
      <c r="E710" s="10" t="s">
        <v>409</v>
      </c>
      <c r="F710" s="10"/>
      <c r="G710" s="11" t="s">
        <v>1809</v>
      </c>
      <c r="H710" s="10" t="n">
        <v>2026</v>
      </c>
      <c r="I710" s="10" t="s">
        <v>2355</v>
      </c>
      <c r="J710" s="11" t="s">
        <v>2987</v>
      </c>
      <c r="K710" s="10" t="s">
        <v>49</v>
      </c>
      <c r="L710" s="10" t="s">
        <v>1812</v>
      </c>
    </row>
    <row r="711" customFormat="false" ht="15" hidden="false" customHeight="false" outlineLevel="0" collapsed="false">
      <c r="A711" s="10" t="s">
        <v>2988</v>
      </c>
      <c r="B711" s="10" t="s">
        <v>2127</v>
      </c>
      <c r="C711" s="10" t="s">
        <v>2286</v>
      </c>
      <c r="D711" s="10"/>
      <c r="E711" s="10" t="s">
        <v>2651</v>
      </c>
      <c r="F711" s="10"/>
      <c r="G711" s="11" t="s">
        <v>231</v>
      </c>
      <c r="H711" s="10" t="n">
        <v>2026</v>
      </c>
      <c r="I711" s="10" t="s">
        <v>2193</v>
      </c>
      <c r="J711" s="11" t="s">
        <v>233</v>
      </c>
      <c r="K711" s="10" t="s">
        <v>2655</v>
      </c>
      <c r="L711" s="10" t="s">
        <v>234</v>
      </c>
    </row>
    <row r="712" customFormat="false" ht="23.85" hidden="false" customHeight="false" outlineLevel="0" collapsed="false">
      <c r="A712" s="10" t="s">
        <v>2989</v>
      </c>
      <c r="B712" s="10" t="s">
        <v>2127</v>
      </c>
      <c r="C712" s="10" t="s">
        <v>45</v>
      </c>
      <c r="D712" s="10"/>
      <c r="E712" s="10"/>
      <c r="F712" s="10" t="s">
        <v>2127</v>
      </c>
      <c r="G712" s="11" t="s">
        <v>2990</v>
      </c>
      <c r="H712" s="10" t="n">
        <v>2026</v>
      </c>
      <c r="I712" s="10" t="s">
        <v>2171</v>
      </c>
      <c r="J712" s="11" t="s">
        <v>2991</v>
      </c>
      <c r="K712" s="10" t="s">
        <v>49</v>
      </c>
      <c r="L712" s="10" t="s">
        <v>2992</v>
      </c>
    </row>
    <row r="713" customFormat="false" ht="23.85" hidden="false" customHeight="false" outlineLevel="0" collapsed="false">
      <c r="A713" s="10" t="s">
        <v>2993</v>
      </c>
      <c r="B713" s="10" t="s">
        <v>2127</v>
      </c>
      <c r="C713" s="10" t="s">
        <v>408</v>
      </c>
      <c r="D713" s="10" t="s">
        <v>949</v>
      </c>
      <c r="E713" s="10" t="s">
        <v>409</v>
      </c>
      <c r="F713" s="10"/>
      <c r="G713" s="11" t="s">
        <v>950</v>
      </c>
      <c r="H713" s="10" t="n">
        <v>2025</v>
      </c>
      <c r="I713" s="10" t="s">
        <v>2994</v>
      </c>
      <c r="J713" s="11" t="s">
        <v>2480</v>
      </c>
      <c r="K713" s="10" t="s">
        <v>49</v>
      </c>
      <c r="L713" s="10" t="s">
        <v>952</v>
      </c>
    </row>
    <row r="714" customFormat="false" ht="23.85" hidden="false" customHeight="false" outlineLevel="0" collapsed="false">
      <c r="A714" s="10" t="s">
        <v>2995</v>
      </c>
      <c r="B714" s="10" t="s">
        <v>2127</v>
      </c>
      <c r="C714" s="10" t="s">
        <v>45</v>
      </c>
      <c r="D714" s="10"/>
      <c r="E714" s="10"/>
      <c r="F714" s="10" t="s">
        <v>2127</v>
      </c>
      <c r="G714" s="11" t="s">
        <v>2996</v>
      </c>
      <c r="H714" s="10" t="n">
        <v>2022</v>
      </c>
      <c r="I714" s="10" t="s">
        <v>2997</v>
      </c>
      <c r="J714" s="11" t="s">
        <v>1934</v>
      </c>
      <c r="K714" s="10" t="s">
        <v>61</v>
      </c>
      <c r="L714" s="10" t="s">
        <v>2998</v>
      </c>
    </row>
    <row r="715" customFormat="false" ht="35.05" hidden="false" customHeight="false" outlineLevel="0" collapsed="false">
      <c r="A715" s="10" t="s">
        <v>2999</v>
      </c>
      <c r="B715" s="10" t="s">
        <v>2127</v>
      </c>
      <c r="C715" s="10" t="s">
        <v>45</v>
      </c>
      <c r="D715" s="10"/>
      <c r="E715" s="10"/>
      <c r="F715" s="10" t="s">
        <v>2127</v>
      </c>
      <c r="G715" s="11" t="s">
        <v>3000</v>
      </c>
      <c r="H715" s="10" t="n">
        <v>2018</v>
      </c>
      <c r="I715" s="10" t="s">
        <v>3001</v>
      </c>
      <c r="J715" s="11" t="s">
        <v>3002</v>
      </c>
      <c r="K715" s="10" t="s">
        <v>49</v>
      </c>
      <c r="L715" s="10" t="s">
        <v>3003</v>
      </c>
    </row>
    <row r="716" customFormat="false" ht="23.85" hidden="false" customHeight="false" outlineLevel="0" collapsed="false">
      <c r="A716" s="10" t="s">
        <v>3004</v>
      </c>
      <c r="B716" s="10" t="s">
        <v>2127</v>
      </c>
      <c r="C716" s="10" t="s">
        <v>408</v>
      </c>
      <c r="D716" s="10" t="s">
        <v>79</v>
      </c>
      <c r="E716" s="10" t="s">
        <v>409</v>
      </c>
      <c r="F716" s="10"/>
      <c r="G716" s="11" t="s">
        <v>80</v>
      </c>
      <c r="H716" s="10" t="n">
        <v>2022</v>
      </c>
      <c r="I716" s="10" t="s">
        <v>3005</v>
      </c>
      <c r="J716" s="11" t="s">
        <v>3006</v>
      </c>
      <c r="K716" s="10" t="s">
        <v>49</v>
      </c>
      <c r="L716" s="10" t="s">
        <v>83</v>
      </c>
    </row>
    <row r="717" customFormat="false" ht="23.85" hidden="false" customHeight="false" outlineLevel="0" collapsed="false">
      <c r="A717" s="10" t="s">
        <v>3007</v>
      </c>
      <c r="B717" s="10" t="s">
        <v>2127</v>
      </c>
      <c r="C717" s="10" t="s">
        <v>45</v>
      </c>
      <c r="D717" s="10"/>
      <c r="E717" s="10"/>
      <c r="F717" s="10" t="s">
        <v>2127</v>
      </c>
      <c r="G717" s="11" t="s">
        <v>3008</v>
      </c>
      <c r="H717" s="10" t="n">
        <v>2026</v>
      </c>
      <c r="I717" s="10" t="s">
        <v>3009</v>
      </c>
      <c r="J717" s="11" t="s">
        <v>2991</v>
      </c>
      <c r="K717" s="10" t="s">
        <v>49</v>
      </c>
      <c r="L717" s="10" t="s">
        <v>3010</v>
      </c>
    </row>
    <row r="718" customFormat="false" ht="23.85" hidden="false" customHeight="false" outlineLevel="0" collapsed="false">
      <c r="A718" s="10" t="s">
        <v>3011</v>
      </c>
      <c r="B718" s="10" t="s">
        <v>2127</v>
      </c>
      <c r="C718" s="10" t="s">
        <v>408</v>
      </c>
      <c r="D718" s="10" t="s">
        <v>382</v>
      </c>
      <c r="E718" s="10" t="s">
        <v>409</v>
      </c>
      <c r="F718" s="10"/>
      <c r="G718" s="11" t="s">
        <v>383</v>
      </c>
      <c r="H718" s="10" t="n">
        <v>2025</v>
      </c>
      <c r="I718" s="10" t="s">
        <v>3012</v>
      </c>
      <c r="J718" s="11" t="s">
        <v>2462</v>
      </c>
      <c r="K718" s="10" t="s">
        <v>49</v>
      </c>
      <c r="L718" s="10" t="s">
        <v>385</v>
      </c>
    </row>
    <row r="719" customFormat="false" ht="23.85" hidden="false" customHeight="false" outlineLevel="0" collapsed="false">
      <c r="A719" s="10" t="s">
        <v>3013</v>
      </c>
      <c r="B719" s="10" t="s">
        <v>2127</v>
      </c>
      <c r="C719" s="10" t="s">
        <v>45</v>
      </c>
      <c r="D719" s="10"/>
      <c r="E719" s="10"/>
      <c r="F719" s="10" t="s">
        <v>2127</v>
      </c>
      <c r="G719" s="11" t="s">
        <v>3014</v>
      </c>
      <c r="H719" s="10" t="n">
        <v>2026</v>
      </c>
      <c r="I719" s="10" t="s">
        <v>2327</v>
      </c>
      <c r="J719" s="11" t="s">
        <v>2991</v>
      </c>
      <c r="K719" s="10" t="s">
        <v>49</v>
      </c>
      <c r="L719" s="10" t="s">
        <v>3015</v>
      </c>
    </row>
    <row r="720" customFormat="false" ht="23.85" hidden="false" customHeight="false" outlineLevel="0" collapsed="false">
      <c r="A720" s="10" t="s">
        <v>3016</v>
      </c>
      <c r="B720" s="10" t="s">
        <v>2127</v>
      </c>
      <c r="C720" s="10" t="s">
        <v>45</v>
      </c>
      <c r="D720" s="10"/>
      <c r="E720" s="10"/>
      <c r="F720" s="10" t="s">
        <v>2127</v>
      </c>
      <c r="G720" s="11" t="s">
        <v>3017</v>
      </c>
      <c r="H720" s="10" t="n">
        <v>2026</v>
      </c>
      <c r="I720" s="10" t="s">
        <v>3018</v>
      </c>
      <c r="J720" s="11" t="s">
        <v>3019</v>
      </c>
      <c r="K720" s="10" t="s">
        <v>49</v>
      </c>
      <c r="L720" s="10" t="s">
        <v>3020</v>
      </c>
    </row>
    <row r="721" customFormat="false" ht="23.85" hidden="false" customHeight="false" outlineLevel="0" collapsed="false">
      <c r="A721" s="10" t="s">
        <v>3021</v>
      </c>
      <c r="B721" s="10" t="s">
        <v>2127</v>
      </c>
      <c r="C721" s="10" t="s">
        <v>45</v>
      </c>
      <c r="D721" s="10"/>
      <c r="E721" s="10"/>
      <c r="F721" s="10" t="s">
        <v>2127</v>
      </c>
      <c r="G721" s="11" t="s">
        <v>3022</v>
      </c>
      <c r="H721" s="10" t="n">
        <v>2025</v>
      </c>
      <c r="I721" s="10" t="s">
        <v>3023</v>
      </c>
      <c r="J721" s="11" t="s">
        <v>2616</v>
      </c>
      <c r="K721" s="10" t="s">
        <v>49</v>
      </c>
      <c r="L721" s="10" t="s">
        <v>3024</v>
      </c>
    </row>
    <row r="722" customFormat="false" ht="35.05" hidden="false" customHeight="false" outlineLevel="0" collapsed="false">
      <c r="A722" s="10" t="s">
        <v>3025</v>
      </c>
      <c r="B722" s="10" t="s">
        <v>2127</v>
      </c>
      <c r="C722" s="10" t="s">
        <v>45</v>
      </c>
      <c r="D722" s="10"/>
      <c r="E722" s="10"/>
      <c r="F722" s="10" t="s">
        <v>2127</v>
      </c>
      <c r="G722" s="11" t="s">
        <v>3026</v>
      </c>
      <c r="H722" s="10" t="n">
        <v>2026</v>
      </c>
      <c r="I722" s="10"/>
      <c r="J722" s="11" t="s">
        <v>3027</v>
      </c>
      <c r="K722" s="10" t="s">
        <v>49</v>
      </c>
      <c r="L722" s="10" t="s">
        <v>3028</v>
      </c>
    </row>
    <row r="723" customFormat="false" ht="23.85" hidden="false" customHeight="false" outlineLevel="0" collapsed="false">
      <c r="A723" s="10" t="s">
        <v>3029</v>
      </c>
      <c r="B723" s="10" t="s">
        <v>2127</v>
      </c>
      <c r="C723" s="10" t="s">
        <v>408</v>
      </c>
      <c r="D723" s="10" t="s">
        <v>660</v>
      </c>
      <c r="E723" s="10" t="s">
        <v>409</v>
      </c>
      <c r="F723" s="10"/>
      <c r="G723" s="11" t="s">
        <v>661</v>
      </c>
      <c r="H723" s="10" t="n">
        <v>2018</v>
      </c>
      <c r="I723" s="10" t="s">
        <v>3030</v>
      </c>
      <c r="J723" s="11" t="s">
        <v>663</v>
      </c>
      <c r="K723" s="10" t="s">
        <v>61</v>
      </c>
      <c r="L723" s="10" t="s">
        <v>664</v>
      </c>
    </row>
    <row r="724" customFormat="false" ht="23.85" hidden="false" customHeight="false" outlineLevel="0" collapsed="false">
      <c r="A724" s="10" t="s">
        <v>3031</v>
      </c>
      <c r="B724" s="10" t="s">
        <v>2127</v>
      </c>
      <c r="C724" s="10" t="s">
        <v>45</v>
      </c>
      <c r="D724" s="10"/>
      <c r="E724" s="10"/>
      <c r="F724" s="10" t="s">
        <v>2127</v>
      </c>
      <c r="G724" s="11" t="s">
        <v>3032</v>
      </c>
      <c r="H724" s="10" t="n">
        <v>2018</v>
      </c>
      <c r="I724" s="10" t="s">
        <v>3033</v>
      </c>
      <c r="J724" s="11" t="s">
        <v>3034</v>
      </c>
      <c r="K724" s="10" t="s">
        <v>61</v>
      </c>
      <c r="L724" s="10" t="s">
        <v>3035</v>
      </c>
    </row>
    <row r="725" customFormat="false" ht="35.05" hidden="false" customHeight="false" outlineLevel="0" collapsed="false">
      <c r="A725" s="10" t="s">
        <v>3036</v>
      </c>
      <c r="B725" s="10" t="s">
        <v>2127</v>
      </c>
      <c r="C725" s="10" t="s">
        <v>45</v>
      </c>
      <c r="D725" s="10"/>
      <c r="E725" s="10"/>
      <c r="F725" s="10" t="s">
        <v>2127</v>
      </c>
      <c r="G725" s="11" t="s">
        <v>3037</v>
      </c>
      <c r="H725" s="10" t="n">
        <v>2023</v>
      </c>
      <c r="I725" s="10" t="s">
        <v>3038</v>
      </c>
      <c r="J725" s="11" t="s">
        <v>3039</v>
      </c>
      <c r="K725" s="10" t="s">
        <v>49</v>
      </c>
      <c r="L725" s="10" t="s">
        <v>3040</v>
      </c>
    </row>
    <row r="726" customFormat="false" ht="35.05" hidden="false" customHeight="false" outlineLevel="0" collapsed="false">
      <c r="A726" s="10" t="s">
        <v>3041</v>
      </c>
      <c r="B726" s="10" t="s">
        <v>2127</v>
      </c>
      <c r="C726" s="10" t="s">
        <v>45</v>
      </c>
      <c r="D726" s="10"/>
      <c r="E726" s="10"/>
      <c r="F726" s="10" t="s">
        <v>2127</v>
      </c>
      <c r="G726" s="11" t="s">
        <v>3042</v>
      </c>
      <c r="H726" s="10" t="n">
        <v>2018</v>
      </c>
      <c r="I726" s="10" t="s">
        <v>3043</v>
      </c>
      <c r="J726" s="11" t="s">
        <v>3044</v>
      </c>
      <c r="K726" s="10" t="s">
        <v>49</v>
      </c>
      <c r="L726" s="10" t="s">
        <v>3045</v>
      </c>
    </row>
    <row r="727" customFormat="false" ht="23.85" hidden="false" customHeight="false" outlineLevel="0" collapsed="false">
      <c r="A727" s="10" t="s">
        <v>3046</v>
      </c>
      <c r="B727" s="10" t="s">
        <v>2127</v>
      </c>
      <c r="C727" s="10" t="s">
        <v>45</v>
      </c>
      <c r="D727" s="10"/>
      <c r="E727" s="10"/>
      <c r="F727" s="10" t="s">
        <v>2127</v>
      </c>
      <c r="G727" s="11" t="s">
        <v>3047</v>
      </c>
      <c r="H727" s="10" t="n">
        <v>2020</v>
      </c>
      <c r="I727" s="10" t="s">
        <v>3048</v>
      </c>
      <c r="J727" s="11" t="s">
        <v>3049</v>
      </c>
      <c r="K727" s="10" t="s">
        <v>49</v>
      </c>
      <c r="L727" s="10" t="s">
        <v>3050</v>
      </c>
    </row>
    <row r="728" customFormat="false" ht="23.85" hidden="false" customHeight="false" outlineLevel="0" collapsed="false">
      <c r="A728" s="10" t="s">
        <v>3051</v>
      </c>
      <c r="B728" s="10" t="s">
        <v>2127</v>
      </c>
      <c r="C728" s="10" t="s">
        <v>45</v>
      </c>
      <c r="D728" s="10"/>
      <c r="E728" s="10"/>
      <c r="F728" s="10" t="s">
        <v>2127</v>
      </c>
      <c r="G728" s="11" t="s">
        <v>3052</v>
      </c>
      <c r="H728" s="10" t="n">
        <v>2023</v>
      </c>
      <c r="I728" s="10" t="s">
        <v>3053</v>
      </c>
      <c r="J728" s="11" t="s">
        <v>3054</v>
      </c>
      <c r="K728" s="10" t="s">
        <v>49</v>
      </c>
      <c r="L728" s="10" t="s">
        <v>3055</v>
      </c>
    </row>
    <row r="729" customFormat="false" ht="23.85" hidden="false" customHeight="false" outlineLevel="0" collapsed="false">
      <c r="A729" s="10" t="s">
        <v>3056</v>
      </c>
      <c r="B729" s="10" t="s">
        <v>2127</v>
      </c>
      <c r="C729" s="10" t="s">
        <v>45</v>
      </c>
      <c r="D729" s="10"/>
      <c r="E729" s="10"/>
      <c r="F729" s="10" t="s">
        <v>2127</v>
      </c>
      <c r="G729" s="11" t="s">
        <v>3057</v>
      </c>
      <c r="H729" s="10" t="n">
        <v>2022</v>
      </c>
      <c r="I729" s="10" t="s">
        <v>3058</v>
      </c>
      <c r="J729" s="11" t="s">
        <v>3059</v>
      </c>
      <c r="K729" s="10" t="s">
        <v>49</v>
      </c>
      <c r="L729" s="10" t="s">
        <v>3060</v>
      </c>
    </row>
    <row r="730" customFormat="false" ht="23.85" hidden="false" customHeight="false" outlineLevel="0" collapsed="false">
      <c r="A730" s="10" t="s">
        <v>3061</v>
      </c>
      <c r="B730" s="10" t="s">
        <v>2127</v>
      </c>
      <c r="C730" s="10" t="s">
        <v>45</v>
      </c>
      <c r="D730" s="10"/>
      <c r="E730" s="10"/>
      <c r="F730" s="10" t="s">
        <v>2127</v>
      </c>
      <c r="G730" s="11" t="s">
        <v>3062</v>
      </c>
      <c r="H730" s="10" t="n">
        <v>2026</v>
      </c>
      <c r="I730" s="10" t="s">
        <v>3063</v>
      </c>
      <c r="J730" s="11" t="s">
        <v>3064</v>
      </c>
      <c r="K730" s="10" t="s">
        <v>49</v>
      </c>
      <c r="L730" s="10"/>
    </row>
    <row r="731" customFormat="false" ht="23.85" hidden="false" customHeight="false" outlineLevel="0" collapsed="false">
      <c r="A731" s="10" t="s">
        <v>3065</v>
      </c>
      <c r="B731" s="10" t="s">
        <v>2127</v>
      </c>
      <c r="C731" s="10" t="s">
        <v>45</v>
      </c>
      <c r="D731" s="10"/>
      <c r="E731" s="10"/>
      <c r="F731" s="10" t="s">
        <v>2127</v>
      </c>
      <c r="G731" s="11" t="s">
        <v>3066</v>
      </c>
      <c r="H731" s="10" t="n">
        <v>2019</v>
      </c>
      <c r="I731" s="10" t="s">
        <v>3067</v>
      </c>
      <c r="J731" s="11" t="s">
        <v>3068</v>
      </c>
      <c r="K731" s="10" t="s">
        <v>49</v>
      </c>
      <c r="L731" s="10" t="s">
        <v>3069</v>
      </c>
    </row>
    <row r="732" customFormat="false" ht="23.85" hidden="false" customHeight="false" outlineLevel="0" collapsed="false">
      <c r="A732" s="10" t="s">
        <v>3070</v>
      </c>
      <c r="B732" s="10" t="s">
        <v>2127</v>
      </c>
      <c r="C732" s="10" t="s">
        <v>45</v>
      </c>
      <c r="D732" s="10"/>
      <c r="E732" s="10"/>
      <c r="F732" s="10" t="s">
        <v>2127</v>
      </c>
      <c r="G732" s="11" t="s">
        <v>3071</v>
      </c>
      <c r="H732" s="10" t="n">
        <v>2024</v>
      </c>
      <c r="I732" s="10" t="s">
        <v>3072</v>
      </c>
      <c r="J732" s="11" t="s">
        <v>560</v>
      </c>
      <c r="K732" s="10" t="s">
        <v>61</v>
      </c>
      <c r="L732" s="10" t="s">
        <v>3073</v>
      </c>
    </row>
    <row r="733" customFormat="false" ht="23.85" hidden="false" customHeight="false" outlineLevel="0" collapsed="false">
      <c r="A733" s="10" t="s">
        <v>3074</v>
      </c>
      <c r="B733" s="10" t="s">
        <v>2127</v>
      </c>
      <c r="C733" s="10" t="s">
        <v>45</v>
      </c>
      <c r="D733" s="10"/>
      <c r="E733" s="10"/>
      <c r="F733" s="10" t="s">
        <v>2127</v>
      </c>
      <c r="G733" s="11" t="s">
        <v>3075</v>
      </c>
      <c r="H733" s="10" t="n">
        <v>2021</v>
      </c>
      <c r="I733" s="10" t="s">
        <v>3076</v>
      </c>
      <c r="J733" s="11" t="s">
        <v>3077</v>
      </c>
      <c r="K733" s="10" t="s">
        <v>49</v>
      </c>
      <c r="L733" s="10" t="s">
        <v>3078</v>
      </c>
    </row>
    <row r="734" customFormat="false" ht="23.85" hidden="false" customHeight="false" outlineLevel="0" collapsed="false">
      <c r="A734" s="10" t="s">
        <v>3079</v>
      </c>
      <c r="B734" s="10" t="s">
        <v>2127</v>
      </c>
      <c r="C734" s="10" t="s">
        <v>408</v>
      </c>
      <c r="D734" s="10" t="s">
        <v>1006</v>
      </c>
      <c r="E734" s="10" t="s">
        <v>409</v>
      </c>
      <c r="F734" s="10"/>
      <c r="G734" s="11" t="s">
        <v>1007</v>
      </c>
      <c r="H734" s="10" t="n">
        <v>2020</v>
      </c>
      <c r="I734" s="10" t="s">
        <v>3080</v>
      </c>
      <c r="J734" s="11" t="s">
        <v>3081</v>
      </c>
      <c r="K734" s="10" t="s">
        <v>49</v>
      </c>
      <c r="L734" s="10" t="s">
        <v>1010</v>
      </c>
    </row>
    <row r="735" customFormat="false" ht="23.85" hidden="false" customHeight="false" outlineLevel="0" collapsed="false">
      <c r="A735" s="10" t="s">
        <v>3082</v>
      </c>
      <c r="B735" s="10" t="s">
        <v>2127</v>
      </c>
      <c r="C735" s="10" t="s">
        <v>45</v>
      </c>
      <c r="D735" s="10"/>
      <c r="E735" s="10"/>
      <c r="F735" s="10" t="s">
        <v>2127</v>
      </c>
      <c r="G735" s="11" t="s">
        <v>3083</v>
      </c>
      <c r="H735" s="10" t="n">
        <v>2023</v>
      </c>
      <c r="I735" s="10" t="s">
        <v>3084</v>
      </c>
      <c r="J735" s="11" t="s">
        <v>3085</v>
      </c>
      <c r="K735" s="10" t="s">
        <v>49</v>
      </c>
      <c r="L735" s="10" t="s">
        <v>3086</v>
      </c>
    </row>
    <row r="736" customFormat="false" ht="23.85" hidden="false" customHeight="false" outlineLevel="0" collapsed="false">
      <c r="A736" s="10" t="s">
        <v>3087</v>
      </c>
      <c r="B736" s="10" t="s">
        <v>2127</v>
      </c>
      <c r="C736" s="10" t="s">
        <v>2286</v>
      </c>
      <c r="D736" s="10"/>
      <c r="E736" s="10" t="s">
        <v>2651</v>
      </c>
      <c r="F736" s="10"/>
      <c r="G736" s="11" t="s">
        <v>3088</v>
      </c>
      <c r="H736" s="10" t="n">
        <v>2025</v>
      </c>
      <c r="I736" s="10" t="s">
        <v>3089</v>
      </c>
      <c r="J736" s="11" t="s">
        <v>3090</v>
      </c>
      <c r="K736" s="10" t="s">
        <v>2655</v>
      </c>
      <c r="L736" s="10" t="s">
        <v>3091</v>
      </c>
    </row>
    <row r="737" customFormat="false" ht="23.85" hidden="false" customHeight="false" outlineLevel="0" collapsed="false">
      <c r="A737" s="10" t="s">
        <v>3092</v>
      </c>
      <c r="B737" s="10" t="s">
        <v>2127</v>
      </c>
      <c r="C737" s="10" t="s">
        <v>408</v>
      </c>
      <c r="D737" s="10" t="s">
        <v>1584</v>
      </c>
      <c r="E737" s="10" t="s">
        <v>409</v>
      </c>
      <c r="F737" s="10"/>
      <c r="G737" s="11" t="s">
        <v>1585</v>
      </c>
      <c r="H737" s="10" t="n">
        <v>2025</v>
      </c>
      <c r="I737" s="10" t="s">
        <v>3093</v>
      </c>
      <c r="J737" s="11" t="s">
        <v>2462</v>
      </c>
      <c r="K737" s="10" t="s">
        <v>49</v>
      </c>
      <c r="L737" s="10" t="s">
        <v>1587</v>
      </c>
    </row>
    <row r="738" customFormat="false" ht="23.85" hidden="false" customHeight="false" outlineLevel="0" collapsed="false">
      <c r="A738" s="10" t="s">
        <v>3094</v>
      </c>
      <c r="B738" s="10" t="s">
        <v>2127</v>
      </c>
      <c r="C738" s="10" t="s">
        <v>45</v>
      </c>
      <c r="D738" s="10"/>
      <c r="E738" s="10"/>
      <c r="F738" s="10" t="s">
        <v>2127</v>
      </c>
      <c r="G738" s="11" t="s">
        <v>3095</v>
      </c>
      <c r="H738" s="10" t="n">
        <v>2020</v>
      </c>
      <c r="I738" s="10" t="s">
        <v>2931</v>
      </c>
      <c r="J738" s="11" t="s">
        <v>3096</v>
      </c>
      <c r="K738" s="10" t="s">
        <v>49</v>
      </c>
      <c r="L738" s="10" t="s">
        <v>3097</v>
      </c>
    </row>
    <row r="739" customFormat="false" ht="23.85" hidden="false" customHeight="false" outlineLevel="0" collapsed="false">
      <c r="A739" s="10" t="s">
        <v>3098</v>
      </c>
      <c r="B739" s="10" t="s">
        <v>2127</v>
      </c>
      <c r="C739" s="10" t="s">
        <v>408</v>
      </c>
      <c r="D739" s="10" t="s">
        <v>779</v>
      </c>
      <c r="E739" s="10" t="s">
        <v>409</v>
      </c>
      <c r="F739" s="10"/>
      <c r="G739" s="11" t="s">
        <v>780</v>
      </c>
      <c r="H739" s="10" t="n">
        <v>2020</v>
      </c>
      <c r="I739" s="10" t="s">
        <v>3099</v>
      </c>
      <c r="J739" s="11" t="s">
        <v>3100</v>
      </c>
      <c r="K739" s="10" t="s">
        <v>49</v>
      </c>
      <c r="L739" s="10" t="s">
        <v>783</v>
      </c>
    </row>
    <row r="740" customFormat="false" ht="15" hidden="false" customHeight="false" outlineLevel="0" collapsed="false">
      <c r="A740" s="10" t="s">
        <v>3101</v>
      </c>
      <c r="B740" s="10" t="s">
        <v>2127</v>
      </c>
      <c r="C740" s="10" t="s">
        <v>408</v>
      </c>
      <c r="D740" s="10" t="s">
        <v>1943</v>
      </c>
      <c r="E740" s="10" t="s">
        <v>409</v>
      </c>
      <c r="F740" s="10"/>
      <c r="G740" s="11" t="s">
        <v>1944</v>
      </c>
      <c r="H740" s="10" t="n">
        <v>2026</v>
      </c>
      <c r="I740" s="10" t="s">
        <v>3102</v>
      </c>
      <c r="J740" s="11" t="s">
        <v>1946</v>
      </c>
      <c r="K740" s="10" t="s">
        <v>61</v>
      </c>
      <c r="L740" s="10" t="s">
        <v>1947</v>
      </c>
    </row>
    <row r="741" customFormat="false" ht="23.85" hidden="false" customHeight="false" outlineLevel="0" collapsed="false">
      <c r="A741" s="10" t="s">
        <v>3103</v>
      </c>
      <c r="B741" s="10" t="s">
        <v>2127</v>
      </c>
      <c r="C741" s="10" t="s">
        <v>45</v>
      </c>
      <c r="D741" s="10"/>
      <c r="E741" s="10"/>
      <c r="F741" s="10" t="s">
        <v>2127</v>
      </c>
      <c r="G741" s="11" t="s">
        <v>3104</v>
      </c>
      <c r="H741" s="10" t="n">
        <v>2020</v>
      </c>
      <c r="I741" s="10" t="s">
        <v>3105</v>
      </c>
      <c r="J741" s="11" t="s">
        <v>3106</v>
      </c>
      <c r="K741" s="10" t="s">
        <v>61</v>
      </c>
      <c r="L741" s="10" t="s">
        <v>3107</v>
      </c>
    </row>
    <row r="742" customFormat="false" ht="15" hidden="false" customHeight="false" outlineLevel="0" collapsed="false">
      <c r="A742" s="10" t="s">
        <v>3108</v>
      </c>
      <c r="B742" s="10" t="s">
        <v>2127</v>
      </c>
      <c r="C742" s="10" t="s">
        <v>45</v>
      </c>
      <c r="D742" s="10"/>
      <c r="E742" s="10"/>
      <c r="F742" s="10" t="s">
        <v>2127</v>
      </c>
      <c r="G742" s="11" t="s">
        <v>3109</v>
      </c>
      <c r="H742" s="10" t="n">
        <v>2024</v>
      </c>
      <c r="I742" s="10" t="s">
        <v>3110</v>
      </c>
      <c r="J742" s="11" t="s">
        <v>2472</v>
      </c>
      <c r="K742" s="10" t="s">
        <v>61</v>
      </c>
      <c r="L742" s="10" t="s">
        <v>3111</v>
      </c>
    </row>
    <row r="743" customFormat="false" ht="23.85" hidden="false" customHeight="false" outlineLevel="0" collapsed="false">
      <c r="A743" s="10" t="s">
        <v>3112</v>
      </c>
      <c r="B743" s="10" t="s">
        <v>2127</v>
      </c>
      <c r="C743" s="10" t="s">
        <v>45</v>
      </c>
      <c r="D743" s="10"/>
      <c r="E743" s="10"/>
      <c r="F743" s="10" t="s">
        <v>2127</v>
      </c>
      <c r="G743" s="11" t="s">
        <v>3113</v>
      </c>
      <c r="H743" s="10" t="n">
        <v>2025</v>
      </c>
      <c r="I743" s="10" t="s">
        <v>3114</v>
      </c>
      <c r="J743" s="11" t="s">
        <v>663</v>
      </c>
      <c r="K743" s="10" t="s">
        <v>61</v>
      </c>
      <c r="L743" s="10" t="s">
        <v>3115</v>
      </c>
    </row>
    <row r="744" customFormat="false" ht="23.85" hidden="false" customHeight="false" outlineLevel="0" collapsed="false">
      <c r="A744" s="10" t="s">
        <v>3116</v>
      </c>
      <c r="B744" s="10" t="s">
        <v>2127</v>
      </c>
      <c r="C744" s="10" t="s">
        <v>45</v>
      </c>
      <c r="D744" s="10"/>
      <c r="E744" s="10"/>
      <c r="F744" s="10" t="s">
        <v>2127</v>
      </c>
      <c r="G744" s="11" t="s">
        <v>3117</v>
      </c>
      <c r="H744" s="10" t="n">
        <v>2020</v>
      </c>
      <c r="I744" s="10" t="s">
        <v>3118</v>
      </c>
      <c r="J744" s="11" t="s">
        <v>3119</v>
      </c>
      <c r="K744" s="10" t="s">
        <v>49</v>
      </c>
      <c r="L744" s="10" t="s">
        <v>3120</v>
      </c>
    </row>
    <row r="745" customFormat="false" ht="23.85" hidden="false" customHeight="false" outlineLevel="0" collapsed="false">
      <c r="A745" s="10" t="s">
        <v>3121</v>
      </c>
      <c r="B745" s="10" t="s">
        <v>2127</v>
      </c>
      <c r="C745" s="10" t="s">
        <v>45</v>
      </c>
      <c r="D745" s="10"/>
      <c r="E745" s="10"/>
      <c r="F745" s="10" t="s">
        <v>2127</v>
      </c>
      <c r="G745" s="11" t="s">
        <v>3122</v>
      </c>
      <c r="H745" s="10" t="n">
        <v>2026</v>
      </c>
      <c r="I745" s="10" t="s">
        <v>3114</v>
      </c>
      <c r="J745" s="11" t="s">
        <v>663</v>
      </c>
      <c r="K745" s="10" t="s">
        <v>2349</v>
      </c>
      <c r="L745" s="10" t="s">
        <v>3123</v>
      </c>
    </row>
    <row r="746" customFormat="false" ht="15" hidden="false" customHeight="false" outlineLevel="0" collapsed="false">
      <c r="A746" s="10" t="s">
        <v>3124</v>
      </c>
      <c r="B746" s="10" t="s">
        <v>2127</v>
      </c>
      <c r="C746" s="10" t="s">
        <v>45</v>
      </c>
      <c r="D746" s="10"/>
      <c r="E746" s="10"/>
      <c r="F746" s="10" t="s">
        <v>2127</v>
      </c>
      <c r="G746" s="11" t="s">
        <v>3125</v>
      </c>
      <c r="H746" s="10" t="n">
        <v>2025</v>
      </c>
      <c r="I746" s="10" t="s">
        <v>3126</v>
      </c>
      <c r="J746" s="11" t="s">
        <v>3127</v>
      </c>
      <c r="K746" s="10" t="s">
        <v>49</v>
      </c>
      <c r="L746" s="10" t="s">
        <v>3128</v>
      </c>
    </row>
    <row r="747" customFormat="false" ht="23.85" hidden="false" customHeight="false" outlineLevel="0" collapsed="false">
      <c r="A747" s="10" t="s">
        <v>3129</v>
      </c>
      <c r="B747" s="10" t="s">
        <v>2127</v>
      </c>
      <c r="C747" s="10" t="s">
        <v>45</v>
      </c>
      <c r="D747" s="10"/>
      <c r="E747" s="10"/>
      <c r="F747" s="10" t="s">
        <v>2127</v>
      </c>
      <c r="G747" s="11" t="s">
        <v>3130</v>
      </c>
      <c r="H747" s="10" t="n">
        <v>2026</v>
      </c>
      <c r="I747" s="10" t="s">
        <v>3131</v>
      </c>
      <c r="J747" s="11" t="s">
        <v>3132</v>
      </c>
      <c r="K747" s="10" t="s">
        <v>49</v>
      </c>
      <c r="L747" s="10" t="s">
        <v>3133</v>
      </c>
    </row>
    <row r="748" customFormat="false" ht="15" hidden="false" customHeight="false" outlineLevel="0" collapsed="false">
      <c r="A748" s="10" t="s">
        <v>3134</v>
      </c>
      <c r="B748" s="10" t="s">
        <v>2127</v>
      </c>
      <c r="C748" s="10" t="s">
        <v>2286</v>
      </c>
      <c r="D748" s="10"/>
      <c r="E748" s="10" t="s">
        <v>2651</v>
      </c>
      <c r="F748" s="10"/>
      <c r="G748" s="11" t="s">
        <v>3135</v>
      </c>
      <c r="H748" s="10" t="n">
        <v>2024</v>
      </c>
      <c r="I748" s="10" t="s">
        <v>3136</v>
      </c>
      <c r="J748" s="11" t="s">
        <v>3137</v>
      </c>
      <c r="K748" s="10" t="s">
        <v>2655</v>
      </c>
      <c r="L748" s="10" t="s">
        <v>3138</v>
      </c>
    </row>
    <row r="749" customFormat="false" ht="23.85" hidden="false" customHeight="false" outlineLevel="0" collapsed="false">
      <c r="A749" s="10" t="s">
        <v>3139</v>
      </c>
      <c r="B749" s="10" t="s">
        <v>2127</v>
      </c>
      <c r="C749" s="10" t="s">
        <v>45</v>
      </c>
      <c r="D749" s="10"/>
      <c r="E749" s="10"/>
      <c r="F749" s="10" t="s">
        <v>2127</v>
      </c>
      <c r="G749" s="11" t="s">
        <v>3140</v>
      </c>
      <c r="H749" s="10" t="n">
        <v>2026</v>
      </c>
      <c r="I749" s="10" t="s">
        <v>3141</v>
      </c>
      <c r="J749" s="11" t="s">
        <v>2991</v>
      </c>
      <c r="K749" s="10" t="s">
        <v>49</v>
      </c>
      <c r="L749" s="10" t="s">
        <v>3142</v>
      </c>
    </row>
    <row r="750" customFormat="false" ht="23.85" hidden="false" customHeight="false" outlineLevel="0" collapsed="false">
      <c r="A750" s="10" t="s">
        <v>3143</v>
      </c>
      <c r="B750" s="10" t="s">
        <v>2127</v>
      </c>
      <c r="C750" s="10" t="s">
        <v>408</v>
      </c>
      <c r="D750" s="10" t="s">
        <v>147</v>
      </c>
      <c r="E750" s="10" t="s">
        <v>409</v>
      </c>
      <c r="F750" s="10"/>
      <c r="G750" s="11" t="s">
        <v>148</v>
      </c>
      <c r="H750" s="10" t="n">
        <v>2024</v>
      </c>
      <c r="I750" s="10" t="s">
        <v>3144</v>
      </c>
      <c r="J750" s="11" t="s">
        <v>3145</v>
      </c>
      <c r="K750" s="10" t="s">
        <v>49</v>
      </c>
      <c r="L750" s="10" t="s">
        <v>151</v>
      </c>
    </row>
    <row r="751" customFormat="false" ht="23.85" hidden="false" customHeight="false" outlineLevel="0" collapsed="false">
      <c r="A751" s="10" t="s">
        <v>3146</v>
      </c>
      <c r="B751" s="10" t="s">
        <v>2127</v>
      </c>
      <c r="C751" s="10" t="s">
        <v>408</v>
      </c>
      <c r="D751" s="10" t="s">
        <v>1417</v>
      </c>
      <c r="E751" s="10" t="s">
        <v>409</v>
      </c>
      <c r="F751" s="10"/>
      <c r="G751" s="11" t="s">
        <v>1418</v>
      </c>
      <c r="H751" s="10" t="n">
        <v>2024</v>
      </c>
      <c r="I751" s="10" t="s">
        <v>3147</v>
      </c>
      <c r="J751" s="11" t="s">
        <v>3148</v>
      </c>
      <c r="K751" s="10" t="s">
        <v>49</v>
      </c>
      <c r="L751" s="10" t="s">
        <v>1421</v>
      </c>
    </row>
    <row r="752" customFormat="false" ht="35.05" hidden="false" customHeight="false" outlineLevel="0" collapsed="false">
      <c r="A752" s="10" t="s">
        <v>3149</v>
      </c>
      <c r="B752" s="10" t="s">
        <v>2127</v>
      </c>
      <c r="C752" s="10" t="s">
        <v>408</v>
      </c>
      <c r="D752" s="10" t="s">
        <v>600</v>
      </c>
      <c r="E752" s="10" t="s">
        <v>409</v>
      </c>
      <c r="F752" s="10"/>
      <c r="G752" s="11" t="s">
        <v>3150</v>
      </c>
      <c r="H752" s="10" t="n">
        <v>2019</v>
      </c>
      <c r="I752" s="10" t="s">
        <v>3151</v>
      </c>
      <c r="J752" s="11" t="s">
        <v>3152</v>
      </c>
      <c r="K752" s="10" t="s">
        <v>49</v>
      </c>
      <c r="L752" s="10" t="s">
        <v>604</v>
      </c>
    </row>
    <row r="753" customFormat="false" ht="35.05" hidden="false" customHeight="false" outlineLevel="0" collapsed="false">
      <c r="A753" s="10" t="s">
        <v>3153</v>
      </c>
      <c r="B753" s="10" t="s">
        <v>2127</v>
      </c>
      <c r="C753" s="10" t="s">
        <v>45</v>
      </c>
      <c r="D753" s="10"/>
      <c r="E753" s="10"/>
      <c r="F753" s="10" t="s">
        <v>2127</v>
      </c>
      <c r="G753" s="11" t="s">
        <v>3154</v>
      </c>
      <c r="H753" s="10" t="n">
        <v>2022</v>
      </c>
      <c r="I753" s="10" t="s">
        <v>2915</v>
      </c>
      <c r="J753" s="11" t="s">
        <v>3155</v>
      </c>
      <c r="K753" s="10" t="s">
        <v>49</v>
      </c>
      <c r="L753" s="10" t="s">
        <v>3156</v>
      </c>
    </row>
    <row r="754" customFormat="false" ht="15" hidden="false" customHeight="false" outlineLevel="0" collapsed="false">
      <c r="A754" s="10" t="s">
        <v>3157</v>
      </c>
      <c r="B754" s="10" t="s">
        <v>2127</v>
      </c>
      <c r="C754" s="10" t="s">
        <v>2286</v>
      </c>
      <c r="D754" s="10"/>
      <c r="E754" s="10" t="s">
        <v>2419</v>
      </c>
      <c r="F754" s="10"/>
      <c r="G754" s="11" t="s">
        <v>3158</v>
      </c>
      <c r="H754" s="10" t="n">
        <v>2023</v>
      </c>
      <c r="I754" s="10" t="s">
        <v>3159</v>
      </c>
      <c r="J754" s="11" t="s">
        <v>3160</v>
      </c>
      <c r="K754" s="10" t="s">
        <v>2291</v>
      </c>
      <c r="L754" s="10"/>
    </row>
    <row r="755" customFormat="false" ht="23.85" hidden="false" customHeight="false" outlineLevel="0" collapsed="false">
      <c r="A755" s="10" t="s">
        <v>3161</v>
      </c>
      <c r="B755" s="10" t="s">
        <v>2127</v>
      </c>
      <c r="C755" s="10" t="s">
        <v>45</v>
      </c>
      <c r="D755" s="10"/>
      <c r="E755" s="10"/>
      <c r="F755" s="10" t="s">
        <v>2127</v>
      </c>
      <c r="G755" s="11" t="s">
        <v>3162</v>
      </c>
      <c r="H755" s="10" t="n">
        <v>2023</v>
      </c>
      <c r="I755" s="10" t="s">
        <v>3163</v>
      </c>
      <c r="J755" s="11" t="s">
        <v>3164</v>
      </c>
      <c r="K755" s="10" t="s">
        <v>49</v>
      </c>
      <c r="L755" s="10" t="s">
        <v>3165</v>
      </c>
    </row>
    <row r="756" customFormat="false" ht="15" hidden="false" customHeight="false" outlineLevel="0" collapsed="false">
      <c r="A756" s="10" t="s">
        <v>3166</v>
      </c>
      <c r="B756" s="10" t="s">
        <v>2127</v>
      </c>
      <c r="C756" s="10" t="s">
        <v>408</v>
      </c>
      <c r="D756" s="10" t="s">
        <v>96</v>
      </c>
      <c r="E756" s="10" t="s">
        <v>409</v>
      </c>
      <c r="F756" s="10"/>
      <c r="G756" s="11" t="s">
        <v>97</v>
      </c>
      <c r="H756" s="10" t="n">
        <v>2024</v>
      </c>
      <c r="I756" s="10" t="s">
        <v>3167</v>
      </c>
      <c r="J756" s="11" t="s">
        <v>3168</v>
      </c>
      <c r="K756" s="10" t="s">
        <v>49</v>
      </c>
      <c r="L756" s="10" t="s">
        <v>100</v>
      </c>
    </row>
    <row r="757" customFormat="false" ht="23.85" hidden="false" customHeight="false" outlineLevel="0" collapsed="false">
      <c r="A757" s="10" t="s">
        <v>3169</v>
      </c>
      <c r="B757" s="10" t="s">
        <v>2127</v>
      </c>
      <c r="C757" s="10" t="s">
        <v>408</v>
      </c>
      <c r="D757" s="10" t="s">
        <v>2057</v>
      </c>
      <c r="E757" s="10" t="s">
        <v>409</v>
      </c>
      <c r="F757" s="10"/>
      <c r="G757" s="11" t="s">
        <v>2058</v>
      </c>
      <c r="H757" s="10" t="n">
        <v>2026</v>
      </c>
      <c r="I757" s="10" t="s">
        <v>3170</v>
      </c>
      <c r="J757" s="11" t="s">
        <v>3171</v>
      </c>
      <c r="K757" s="10" t="s">
        <v>49</v>
      </c>
      <c r="L757" s="10" t="s">
        <v>2061</v>
      </c>
    </row>
    <row r="758" customFormat="false" ht="23.85" hidden="false" customHeight="false" outlineLevel="0" collapsed="false">
      <c r="A758" s="10" t="s">
        <v>3172</v>
      </c>
      <c r="B758" s="10" t="s">
        <v>2127</v>
      </c>
      <c r="C758" s="10" t="s">
        <v>45</v>
      </c>
      <c r="D758" s="10"/>
      <c r="E758" s="10"/>
      <c r="F758" s="10" t="s">
        <v>2127</v>
      </c>
      <c r="G758" s="11" t="s">
        <v>3173</v>
      </c>
      <c r="H758" s="10" t="n">
        <v>2021</v>
      </c>
      <c r="I758" s="10" t="s">
        <v>3174</v>
      </c>
      <c r="J758" s="11" t="s">
        <v>3175</v>
      </c>
      <c r="K758" s="10" t="s">
        <v>61</v>
      </c>
      <c r="L758" s="10" t="s">
        <v>3176</v>
      </c>
    </row>
    <row r="759" customFormat="false" ht="23.85" hidden="false" customHeight="false" outlineLevel="0" collapsed="false">
      <c r="A759" s="10" t="s">
        <v>3177</v>
      </c>
      <c r="B759" s="10" t="s">
        <v>2127</v>
      </c>
      <c r="C759" s="10" t="s">
        <v>45</v>
      </c>
      <c r="D759" s="10"/>
      <c r="E759" s="10"/>
      <c r="F759" s="10" t="s">
        <v>2127</v>
      </c>
      <c r="G759" s="11" t="s">
        <v>3178</v>
      </c>
      <c r="H759" s="10" t="n">
        <v>2025</v>
      </c>
      <c r="I759" s="10" t="s">
        <v>3179</v>
      </c>
      <c r="J759" s="11" t="s">
        <v>3180</v>
      </c>
      <c r="K759" s="10" t="s">
        <v>61</v>
      </c>
      <c r="L759" s="10" t="s">
        <v>3181</v>
      </c>
    </row>
    <row r="760" customFormat="false" ht="23.85" hidden="false" customHeight="false" outlineLevel="0" collapsed="false">
      <c r="A760" s="10" t="s">
        <v>3182</v>
      </c>
      <c r="B760" s="10" t="s">
        <v>2127</v>
      </c>
      <c r="C760" s="10" t="s">
        <v>408</v>
      </c>
      <c r="D760" s="10" t="s">
        <v>1488</v>
      </c>
      <c r="E760" s="10" t="s">
        <v>409</v>
      </c>
      <c r="F760" s="10"/>
      <c r="G760" s="11" t="s">
        <v>3183</v>
      </c>
      <c r="H760" s="10" t="n">
        <v>2020</v>
      </c>
      <c r="I760" s="10" t="s">
        <v>3184</v>
      </c>
      <c r="J760" s="11" t="s">
        <v>1491</v>
      </c>
      <c r="K760" s="10" t="s">
        <v>61</v>
      </c>
      <c r="L760" s="10" t="s">
        <v>1492</v>
      </c>
    </row>
    <row r="761" customFormat="false" ht="15" hidden="false" customHeight="false" outlineLevel="0" collapsed="false">
      <c r="A761" s="10" t="s">
        <v>3185</v>
      </c>
      <c r="B761" s="10" t="s">
        <v>2127</v>
      </c>
      <c r="C761" s="10" t="s">
        <v>408</v>
      </c>
      <c r="D761" s="10" t="s">
        <v>609</v>
      </c>
      <c r="E761" s="10" t="s">
        <v>409</v>
      </c>
      <c r="F761" s="10"/>
      <c r="G761" s="11" t="s">
        <v>610</v>
      </c>
      <c r="H761" s="10" t="n">
        <v>2022</v>
      </c>
      <c r="I761" s="10" t="s">
        <v>2193</v>
      </c>
      <c r="J761" s="11" t="s">
        <v>3186</v>
      </c>
      <c r="K761" s="10" t="s">
        <v>49</v>
      </c>
      <c r="L761" s="10" t="s">
        <v>612</v>
      </c>
    </row>
    <row r="762" customFormat="false" ht="23.85" hidden="false" customHeight="false" outlineLevel="0" collapsed="false">
      <c r="A762" s="10" t="s">
        <v>3187</v>
      </c>
      <c r="B762" s="10" t="s">
        <v>2127</v>
      </c>
      <c r="C762" s="10" t="s">
        <v>45</v>
      </c>
      <c r="D762" s="10"/>
      <c r="E762" s="10"/>
      <c r="F762" s="10" t="s">
        <v>2127</v>
      </c>
      <c r="G762" s="11" t="s">
        <v>3188</v>
      </c>
      <c r="H762" s="10" t="n">
        <v>2025</v>
      </c>
      <c r="I762" s="10" t="s">
        <v>3189</v>
      </c>
      <c r="J762" s="11" t="s">
        <v>1041</v>
      </c>
      <c r="K762" s="10" t="s">
        <v>61</v>
      </c>
      <c r="L762" s="10" t="s">
        <v>3190</v>
      </c>
    </row>
    <row r="763" customFormat="false" ht="23.85" hidden="false" customHeight="false" outlineLevel="0" collapsed="false">
      <c r="A763" s="10" t="s">
        <v>3191</v>
      </c>
      <c r="B763" s="10" t="s">
        <v>2127</v>
      </c>
      <c r="C763" s="10" t="s">
        <v>408</v>
      </c>
      <c r="D763" s="10" t="s">
        <v>1637</v>
      </c>
      <c r="E763" s="10" t="s">
        <v>409</v>
      </c>
      <c r="F763" s="10"/>
      <c r="G763" s="11" t="s">
        <v>1638</v>
      </c>
      <c r="H763" s="10" t="n">
        <v>2025</v>
      </c>
      <c r="I763" s="10" t="s">
        <v>3192</v>
      </c>
      <c r="J763" s="11" t="s">
        <v>2462</v>
      </c>
      <c r="K763" s="10" t="s">
        <v>49</v>
      </c>
      <c r="L763" s="10" t="s">
        <v>1640</v>
      </c>
    </row>
    <row r="764" customFormat="false" ht="35.05" hidden="false" customHeight="false" outlineLevel="0" collapsed="false">
      <c r="A764" s="10" t="s">
        <v>3193</v>
      </c>
      <c r="B764" s="10" t="s">
        <v>2127</v>
      </c>
      <c r="C764" s="10" t="s">
        <v>408</v>
      </c>
      <c r="D764" s="10" t="s">
        <v>1248</v>
      </c>
      <c r="E764" s="10" t="s">
        <v>409</v>
      </c>
      <c r="F764" s="10"/>
      <c r="G764" s="11" t="s">
        <v>1249</v>
      </c>
      <c r="H764" s="10" t="n">
        <v>2025</v>
      </c>
      <c r="I764" s="10" t="s">
        <v>3194</v>
      </c>
      <c r="J764" s="11" t="s">
        <v>3195</v>
      </c>
      <c r="K764" s="10" t="s">
        <v>49</v>
      </c>
      <c r="L764" s="10" t="s">
        <v>1252</v>
      </c>
    </row>
    <row r="765" customFormat="false" ht="23.85" hidden="false" customHeight="false" outlineLevel="0" collapsed="false">
      <c r="A765" s="10" t="s">
        <v>3196</v>
      </c>
      <c r="B765" s="10" t="s">
        <v>2127</v>
      </c>
      <c r="C765" s="10" t="s">
        <v>408</v>
      </c>
      <c r="D765" s="10" t="s">
        <v>378</v>
      </c>
      <c r="E765" s="10" t="s">
        <v>409</v>
      </c>
      <c r="F765" s="10"/>
      <c r="G765" s="11" t="s">
        <v>379</v>
      </c>
      <c r="H765" s="10" t="n">
        <v>2018</v>
      </c>
      <c r="I765" s="10" t="s">
        <v>3197</v>
      </c>
      <c r="J765" s="11" t="s">
        <v>3198</v>
      </c>
      <c r="K765" s="10" t="s">
        <v>49</v>
      </c>
      <c r="L765" s="10" t="s">
        <v>381</v>
      </c>
    </row>
    <row r="766" customFormat="false" ht="23.85" hidden="false" customHeight="false" outlineLevel="0" collapsed="false">
      <c r="A766" s="10" t="s">
        <v>3199</v>
      </c>
      <c r="B766" s="10" t="s">
        <v>2127</v>
      </c>
      <c r="C766" s="10" t="s">
        <v>45</v>
      </c>
      <c r="D766" s="10"/>
      <c r="E766" s="10"/>
      <c r="F766" s="10" t="s">
        <v>2127</v>
      </c>
      <c r="G766" s="11" t="s">
        <v>3200</v>
      </c>
      <c r="H766" s="10" t="n">
        <v>2018</v>
      </c>
      <c r="I766" s="10" t="s">
        <v>3201</v>
      </c>
      <c r="J766" s="11" t="s">
        <v>3202</v>
      </c>
      <c r="K766" s="10" t="s">
        <v>49</v>
      </c>
      <c r="L766" s="10" t="s">
        <v>3203</v>
      </c>
    </row>
    <row r="767" customFormat="false" ht="23.85" hidden="false" customHeight="false" outlineLevel="0" collapsed="false">
      <c r="A767" s="10" t="s">
        <v>3204</v>
      </c>
      <c r="B767" s="10" t="s">
        <v>2127</v>
      </c>
      <c r="C767" s="10" t="s">
        <v>408</v>
      </c>
      <c r="D767" s="10" t="s">
        <v>374</v>
      </c>
      <c r="E767" s="10" t="s">
        <v>409</v>
      </c>
      <c r="F767" s="10"/>
      <c r="G767" s="11" t="s">
        <v>375</v>
      </c>
      <c r="H767" s="10" t="n">
        <v>2025</v>
      </c>
      <c r="I767" s="10" t="s">
        <v>3205</v>
      </c>
      <c r="J767" s="11" t="s">
        <v>2480</v>
      </c>
      <c r="K767" s="10" t="s">
        <v>49</v>
      </c>
      <c r="L767" s="10" t="s">
        <v>377</v>
      </c>
    </row>
    <row r="768" customFormat="false" ht="15" hidden="false" customHeight="false" outlineLevel="0" collapsed="false">
      <c r="A768" s="10" t="s">
        <v>3206</v>
      </c>
      <c r="B768" s="10" t="s">
        <v>2127</v>
      </c>
      <c r="C768" s="10" t="s">
        <v>45</v>
      </c>
      <c r="D768" s="10"/>
      <c r="E768" s="10"/>
      <c r="F768" s="10" t="s">
        <v>2127</v>
      </c>
      <c r="G768" s="11" t="s">
        <v>3207</v>
      </c>
      <c r="H768" s="10" t="n">
        <v>2021</v>
      </c>
      <c r="I768" s="10" t="s">
        <v>3208</v>
      </c>
      <c r="J768" s="11" t="s">
        <v>3209</v>
      </c>
      <c r="K768" s="10" t="s">
        <v>61</v>
      </c>
      <c r="L768" s="10" t="s">
        <v>3210</v>
      </c>
    </row>
    <row r="769" customFormat="false" ht="23.85" hidden="false" customHeight="false" outlineLevel="0" collapsed="false">
      <c r="A769" s="10" t="s">
        <v>3211</v>
      </c>
      <c r="B769" s="10" t="s">
        <v>2127</v>
      </c>
      <c r="C769" s="10" t="s">
        <v>408</v>
      </c>
      <c r="D769" s="10" t="s">
        <v>1452</v>
      </c>
      <c r="E769" s="10" t="s">
        <v>409</v>
      </c>
      <c r="F769" s="10"/>
      <c r="G769" s="11" t="s">
        <v>1453</v>
      </c>
      <c r="H769" s="10" t="n">
        <v>2024</v>
      </c>
      <c r="I769" s="10" t="s">
        <v>3212</v>
      </c>
      <c r="J769" s="11" t="s">
        <v>3213</v>
      </c>
      <c r="K769" s="10" t="s">
        <v>49</v>
      </c>
      <c r="L769" s="10" t="s">
        <v>1456</v>
      </c>
    </row>
    <row r="770" customFormat="false" ht="15" hidden="false" customHeight="false" outlineLevel="0" collapsed="false">
      <c r="A770" s="10" t="s">
        <v>3214</v>
      </c>
      <c r="B770" s="10" t="s">
        <v>2127</v>
      </c>
      <c r="C770" s="10" t="s">
        <v>45</v>
      </c>
      <c r="D770" s="10"/>
      <c r="E770" s="10"/>
      <c r="F770" s="10" t="s">
        <v>2127</v>
      </c>
      <c r="G770" s="11" t="s">
        <v>3215</v>
      </c>
      <c r="H770" s="10" t="n">
        <v>2020</v>
      </c>
      <c r="I770" s="10" t="s">
        <v>3216</v>
      </c>
      <c r="J770" s="11" t="s">
        <v>349</v>
      </c>
      <c r="K770" s="10" t="s">
        <v>61</v>
      </c>
      <c r="L770" s="10" t="s">
        <v>3217</v>
      </c>
    </row>
    <row r="771" customFormat="false" ht="23.85" hidden="false" customHeight="false" outlineLevel="0" collapsed="false">
      <c r="A771" s="10" t="s">
        <v>3218</v>
      </c>
      <c r="B771" s="10" t="s">
        <v>2127</v>
      </c>
      <c r="C771" s="10" t="s">
        <v>408</v>
      </c>
      <c r="D771" s="10" t="s">
        <v>1277</v>
      </c>
      <c r="E771" s="10" t="s">
        <v>409</v>
      </c>
      <c r="F771" s="10"/>
      <c r="G771" s="11" t="s">
        <v>1278</v>
      </c>
      <c r="H771" s="10" t="n">
        <v>2025</v>
      </c>
      <c r="I771" s="10" t="s">
        <v>3219</v>
      </c>
      <c r="J771" s="11" t="s">
        <v>3220</v>
      </c>
      <c r="K771" s="10" t="s">
        <v>49</v>
      </c>
      <c r="L771" s="10" t="s">
        <v>1281</v>
      </c>
    </row>
    <row r="772" customFormat="false" ht="23.85" hidden="false" customHeight="false" outlineLevel="0" collapsed="false">
      <c r="A772" s="10" t="s">
        <v>3221</v>
      </c>
      <c r="B772" s="10" t="s">
        <v>2127</v>
      </c>
      <c r="C772" s="10" t="s">
        <v>408</v>
      </c>
      <c r="D772" s="10" t="s">
        <v>1433</v>
      </c>
      <c r="E772" s="10" t="s">
        <v>409</v>
      </c>
      <c r="F772" s="10"/>
      <c r="G772" s="11" t="s">
        <v>3222</v>
      </c>
      <c r="H772" s="10" t="n">
        <v>2018</v>
      </c>
      <c r="I772" s="10" t="s">
        <v>3223</v>
      </c>
      <c r="J772" s="11" t="s">
        <v>3224</v>
      </c>
      <c r="K772" s="10" t="s">
        <v>49</v>
      </c>
      <c r="L772" s="10" t="s">
        <v>1437</v>
      </c>
    </row>
    <row r="773" customFormat="false" ht="23.85" hidden="false" customHeight="false" outlineLevel="0" collapsed="false">
      <c r="A773" s="10" t="s">
        <v>3225</v>
      </c>
      <c r="B773" s="10" t="s">
        <v>2127</v>
      </c>
      <c r="C773" s="10" t="s">
        <v>2286</v>
      </c>
      <c r="D773" s="10"/>
      <c r="E773" s="10" t="s">
        <v>2287</v>
      </c>
      <c r="F773" s="10"/>
      <c r="G773" s="11" t="s">
        <v>3226</v>
      </c>
      <c r="H773" s="10" t="n">
        <v>2026</v>
      </c>
      <c r="I773" s="10" t="s">
        <v>3227</v>
      </c>
      <c r="J773" s="11" t="s">
        <v>3228</v>
      </c>
      <c r="K773" s="10" t="s">
        <v>2291</v>
      </c>
      <c r="L773" s="10" t="s">
        <v>3229</v>
      </c>
    </row>
    <row r="774" customFormat="false" ht="23.85" hidden="false" customHeight="false" outlineLevel="0" collapsed="false">
      <c r="A774" s="10" t="s">
        <v>3230</v>
      </c>
      <c r="B774" s="10" t="s">
        <v>2127</v>
      </c>
      <c r="C774" s="10" t="s">
        <v>408</v>
      </c>
      <c r="D774" s="10" t="s">
        <v>2039</v>
      </c>
      <c r="E774" s="10" t="s">
        <v>409</v>
      </c>
      <c r="F774" s="10"/>
      <c r="G774" s="11" t="s">
        <v>2041</v>
      </c>
      <c r="H774" s="10" t="n">
        <v>2023</v>
      </c>
      <c r="I774" s="10" t="s">
        <v>3231</v>
      </c>
      <c r="J774" s="11" t="s">
        <v>3232</v>
      </c>
      <c r="K774" s="10" t="s">
        <v>49</v>
      </c>
      <c r="L774" s="10" t="s">
        <v>2044</v>
      </c>
    </row>
    <row r="775" customFormat="false" ht="23.85" hidden="false" customHeight="false" outlineLevel="0" collapsed="false">
      <c r="A775" s="10" t="s">
        <v>3233</v>
      </c>
      <c r="B775" s="10" t="s">
        <v>2127</v>
      </c>
      <c r="C775" s="10" t="s">
        <v>45</v>
      </c>
      <c r="D775" s="10"/>
      <c r="E775" s="10"/>
      <c r="F775" s="10" t="s">
        <v>2127</v>
      </c>
      <c r="G775" s="11" t="s">
        <v>3234</v>
      </c>
      <c r="H775" s="10" t="n">
        <v>2023</v>
      </c>
      <c r="I775" s="10" t="s">
        <v>3235</v>
      </c>
      <c r="J775" s="11" t="s">
        <v>464</v>
      </c>
      <c r="K775" s="10" t="s">
        <v>61</v>
      </c>
      <c r="L775" s="10" t="s">
        <v>3236</v>
      </c>
    </row>
    <row r="776" customFormat="false" ht="23.85" hidden="false" customHeight="false" outlineLevel="0" collapsed="false">
      <c r="A776" s="10" t="s">
        <v>3237</v>
      </c>
      <c r="B776" s="10" t="s">
        <v>2127</v>
      </c>
      <c r="C776" s="10" t="s">
        <v>408</v>
      </c>
      <c r="D776" s="10" t="s">
        <v>515</v>
      </c>
      <c r="E776" s="10" t="s">
        <v>409</v>
      </c>
      <c r="F776" s="10"/>
      <c r="G776" s="11" t="s">
        <v>516</v>
      </c>
      <c r="H776" s="10" t="n">
        <v>2022</v>
      </c>
      <c r="I776" s="10" t="s">
        <v>3238</v>
      </c>
      <c r="J776" s="11" t="s">
        <v>3239</v>
      </c>
      <c r="K776" s="10" t="s">
        <v>49</v>
      </c>
      <c r="L776" s="10" t="s">
        <v>519</v>
      </c>
    </row>
    <row r="777" customFormat="false" ht="23.85" hidden="false" customHeight="false" outlineLevel="0" collapsed="false">
      <c r="A777" s="10" t="s">
        <v>3240</v>
      </c>
      <c r="B777" s="10" t="s">
        <v>2127</v>
      </c>
      <c r="C777" s="10" t="s">
        <v>45</v>
      </c>
      <c r="D777" s="10"/>
      <c r="E777" s="10"/>
      <c r="F777" s="10" t="s">
        <v>2127</v>
      </c>
      <c r="G777" s="11" t="s">
        <v>3241</v>
      </c>
      <c r="H777" s="10" t="n">
        <v>2020</v>
      </c>
      <c r="I777" s="10" t="s">
        <v>3242</v>
      </c>
      <c r="J777" s="11" t="s">
        <v>3243</v>
      </c>
      <c r="K777" s="10" t="s">
        <v>49</v>
      </c>
      <c r="L777" s="10" t="s">
        <v>3244</v>
      </c>
    </row>
    <row r="778" customFormat="false" ht="23.85" hidden="false" customHeight="false" outlineLevel="0" collapsed="false">
      <c r="A778" s="10" t="s">
        <v>3245</v>
      </c>
      <c r="B778" s="10" t="s">
        <v>2127</v>
      </c>
      <c r="C778" s="10" t="s">
        <v>408</v>
      </c>
      <c r="D778" s="10" t="s">
        <v>1483</v>
      </c>
      <c r="E778" s="10" t="s">
        <v>409</v>
      </c>
      <c r="F778" s="10"/>
      <c r="G778" s="11" t="s">
        <v>1484</v>
      </c>
      <c r="H778" s="10" t="n">
        <v>2024</v>
      </c>
      <c r="I778" s="10" t="s">
        <v>3246</v>
      </c>
      <c r="J778" s="11" t="s">
        <v>3247</v>
      </c>
      <c r="K778" s="10" t="s">
        <v>49</v>
      </c>
      <c r="L778" s="10" t="s">
        <v>1487</v>
      </c>
    </row>
    <row r="779" customFormat="false" ht="35.05" hidden="false" customHeight="false" outlineLevel="0" collapsed="false">
      <c r="A779" s="10" t="s">
        <v>3248</v>
      </c>
      <c r="B779" s="10" t="s">
        <v>2127</v>
      </c>
      <c r="C779" s="10" t="s">
        <v>408</v>
      </c>
      <c r="D779" s="10" t="s">
        <v>1464</v>
      </c>
      <c r="E779" s="10" t="s">
        <v>409</v>
      </c>
      <c r="F779" s="10"/>
      <c r="G779" s="11" t="s">
        <v>1465</v>
      </c>
      <c r="H779" s="10" t="n">
        <v>2023</v>
      </c>
      <c r="I779" s="10" t="s">
        <v>3249</v>
      </c>
      <c r="J779" s="11" t="s">
        <v>1467</v>
      </c>
      <c r="K779" s="10" t="s">
        <v>61</v>
      </c>
      <c r="L779" s="10" t="s">
        <v>1468</v>
      </c>
    </row>
    <row r="780" customFormat="false" ht="23.85" hidden="false" customHeight="false" outlineLevel="0" collapsed="false">
      <c r="A780" s="10" t="s">
        <v>3250</v>
      </c>
      <c r="B780" s="10" t="s">
        <v>2127</v>
      </c>
      <c r="C780" s="10" t="s">
        <v>45</v>
      </c>
      <c r="D780" s="10"/>
      <c r="E780" s="10"/>
      <c r="F780" s="10" t="s">
        <v>2127</v>
      </c>
      <c r="G780" s="11" t="s">
        <v>3251</v>
      </c>
      <c r="H780" s="10" t="n">
        <v>2026</v>
      </c>
      <c r="I780" s="10" t="s">
        <v>3252</v>
      </c>
      <c r="J780" s="11" t="s">
        <v>3253</v>
      </c>
      <c r="K780" s="10" t="s">
        <v>61</v>
      </c>
      <c r="L780" s="10" t="s">
        <v>3254</v>
      </c>
    </row>
    <row r="781" customFormat="false" ht="23.85" hidden="false" customHeight="false" outlineLevel="0" collapsed="false">
      <c r="A781" s="10" t="s">
        <v>3255</v>
      </c>
      <c r="B781" s="10" t="s">
        <v>2127</v>
      </c>
      <c r="C781" s="10" t="s">
        <v>408</v>
      </c>
      <c r="D781" s="10" t="s">
        <v>1194</v>
      </c>
      <c r="E781" s="10" t="s">
        <v>409</v>
      </c>
      <c r="F781" s="10"/>
      <c r="G781" s="11" t="s">
        <v>1195</v>
      </c>
      <c r="H781" s="10" t="n">
        <v>2022</v>
      </c>
      <c r="I781" s="10" t="s">
        <v>3256</v>
      </c>
      <c r="J781" s="11" t="s">
        <v>3006</v>
      </c>
      <c r="K781" s="10" t="s">
        <v>49</v>
      </c>
      <c r="L781" s="10" t="s">
        <v>1197</v>
      </c>
    </row>
    <row r="782" customFormat="false" ht="35.05" hidden="false" customHeight="false" outlineLevel="0" collapsed="false">
      <c r="A782" s="10" t="s">
        <v>3257</v>
      </c>
      <c r="B782" s="10" t="s">
        <v>2127</v>
      </c>
      <c r="C782" s="10" t="s">
        <v>45</v>
      </c>
      <c r="D782" s="10"/>
      <c r="E782" s="10"/>
      <c r="F782" s="10" t="s">
        <v>2127</v>
      </c>
      <c r="G782" s="11" t="s">
        <v>3258</v>
      </c>
      <c r="H782" s="10" t="n">
        <v>2026</v>
      </c>
      <c r="I782" s="10"/>
      <c r="J782" s="11" t="s">
        <v>3027</v>
      </c>
      <c r="K782" s="10" t="s">
        <v>49</v>
      </c>
      <c r="L782" s="10" t="s">
        <v>3259</v>
      </c>
    </row>
    <row r="783" customFormat="false" ht="35.05" hidden="false" customHeight="false" outlineLevel="0" collapsed="false">
      <c r="A783" s="10" t="s">
        <v>3260</v>
      </c>
      <c r="B783" s="10" t="s">
        <v>2127</v>
      </c>
      <c r="C783" s="10" t="s">
        <v>408</v>
      </c>
      <c r="D783" s="10" t="s">
        <v>562</v>
      </c>
      <c r="E783" s="10" t="s">
        <v>409</v>
      </c>
      <c r="F783" s="10"/>
      <c r="G783" s="11" t="s">
        <v>563</v>
      </c>
      <c r="H783" s="10" t="n">
        <v>2025</v>
      </c>
      <c r="I783" s="10" t="s">
        <v>3261</v>
      </c>
      <c r="J783" s="11" t="s">
        <v>3262</v>
      </c>
      <c r="K783" s="10" t="s">
        <v>49</v>
      </c>
      <c r="L783" s="10" t="s">
        <v>566</v>
      </c>
    </row>
    <row r="784" customFormat="false" ht="35.05" hidden="false" customHeight="false" outlineLevel="0" collapsed="false">
      <c r="A784" s="10" t="s">
        <v>3263</v>
      </c>
      <c r="B784" s="10" t="s">
        <v>2127</v>
      </c>
      <c r="C784" s="10" t="s">
        <v>408</v>
      </c>
      <c r="D784" s="10" t="s">
        <v>152</v>
      </c>
      <c r="E784" s="10" t="s">
        <v>409</v>
      </c>
      <c r="F784" s="10"/>
      <c r="G784" s="11" t="s">
        <v>3264</v>
      </c>
      <c r="H784" s="10" t="n">
        <v>2024</v>
      </c>
      <c r="I784" s="10" t="s">
        <v>3265</v>
      </c>
      <c r="J784" s="11" t="s">
        <v>3266</v>
      </c>
      <c r="K784" s="10" t="s">
        <v>49</v>
      </c>
      <c r="L784" s="10" t="s">
        <v>156</v>
      </c>
    </row>
    <row r="785" customFormat="false" ht="35.05" hidden="false" customHeight="false" outlineLevel="0" collapsed="false">
      <c r="A785" s="10" t="s">
        <v>3267</v>
      </c>
      <c r="B785" s="10" t="s">
        <v>2127</v>
      </c>
      <c r="C785" s="10" t="s">
        <v>45</v>
      </c>
      <c r="D785" s="10"/>
      <c r="E785" s="10"/>
      <c r="F785" s="10" t="s">
        <v>2127</v>
      </c>
      <c r="G785" s="11" t="s">
        <v>3268</v>
      </c>
      <c r="H785" s="10" t="n">
        <v>2019</v>
      </c>
      <c r="I785" s="10"/>
      <c r="J785" s="11" t="s">
        <v>3269</v>
      </c>
      <c r="K785" s="10" t="s">
        <v>49</v>
      </c>
      <c r="L785" s="10" t="s">
        <v>3270</v>
      </c>
    </row>
    <row r="786" customFormat="false" ht="15" hidden="false" customHeight="false" outlineLevel="0" collapsed="false">
      <c r="A786" s="10" t="s">
        <v>3271</v>
      </c>
      <c r="B786" s="10" t="s">
        <v>2127</v>
      </c>
      <c r="C786" s="10" t="s">
        <v>2286</v>
      </c>
      <c r="D786" s="10"/>
      <c r="E786" s="10" t="s">
        <v>2287</v>
      </c>
      <c r="F786" s="10"/>
      <c r="G786" s="11" t="s">
        <v>3272</v>
      </c>
      <c r="H786" s="10" t="n">
        <v>2026</v>
      </c>
      <c r="I786" s="10" t="s">
        <v>3273</v>
      </c>
      <c r="J786" s="11" t="s">
        <v>3274</v>
      </c>
      <c r="K786" s="10" t="s">
        <v>2291</v>
      </c>
      <c r="L786" s="10" t="s">
        <v>3275</v>
      </c>
    </row>
    <row r="787" customFormat="false" ht="35.05" hidden="false" customHeight="false" outlineLevel="0" collapsed="false">
      <c r="A787" s="10" t="s">
        <v>3276</v>
      </c>
      <c r="B787" s="10" t="s">
        <v>2127</v>
      </c>
      <c r="C787" s="10" t="s">
        <v>408</v>
      </c>
      <c r="D787" s="10" t="s">
        <v>1094</v>
      </c>
      <c r="E787" s="10" t="s">
        <v>409</v>
      </c>
      <c r="F787" s="10"/>
      <c r="G787" s="11" t="s">
        <v>1095</v>
      </c>
      <c r="H787" s="10" t="n">
        <v>2018</v>
      </c>
      <c r="I787" s="10" t="s">
        <v>3277</v>
      </c>
      <c r="J787" s="11" t="s">
        <v>3278</v>
      </c>
      <c r="K787" s="10" t="s">
        <v>49</v>
      </c>
      <c r="L787" s="10" t="s">
        <v>1097</v>
      </c>
    </row>
    <row r="788" customFormat="false" ht="35.05" hidden="false" customHeight="false" outlineLevel="0" collapsed="false">
      <c r="A788" s="10" t="s">
        <v>3279</v>
      </c>
      <c r="B788" s="10" t="s">
        <v>2127</v>
      </c>
      <c r="C788" s="10" t="s">
        <v>408</v>
      </c>
      <c r="D788" s="10" t="s">
        <v>1117</v>
      </c>
      <c r="E788" s="10" t="s">
        <v>409</v>
      </c>
      <c r="F788" s="10"/>
      <c r="G788" s="11" t="s">
        <v>3280</v>
      </c>
      <c r="H788" s="10" t="n">
        <v>2021</v>
      </c>
      <c r="I788" s="10" t="s">
        <v>3281</v>
      </c>
      <c r="J788" s="11" t="s">
        <v>3282</v>
      </c>
      <c r="K788" s="10" t="s">
        <v>49</v>
      </c>
      <c r="L788" s="10" t="s">
        <v>1121</v>
      </c>
    </row>
    <row r="789" customFormat="false" ht="23.85" hidden="false" customHeight="false" outlineLevel="0" collapsed="false">
      <c r="A789" s="10" t="s">
        <v>3283</v>
      </c>
      <c r="B789" s="10" t="s">
        <v>2127</v>
      </c>
      <c r="C789" s="10" t="s">
        <v>408</v>
      </c>
      <c r="D789" s="10" t="s">
        <v>1837</v>
      </c>
      <c r="E789" s="10" t="s">
        <v>409</v>
      </c>
      <c r="F789" s="10"/>
      <c r="G789" s="11" t="s">
        <v>3284</v>
      </c>
      <c r="H789" s="10" t="n">
        <v>2026</v>
      </c>
      <c r="I789" s="10" t="s">
        <v>3285</v>
      </c>
      <c r="J789" s="11" t="s">
        <v>3286</v>
      </c>
      <c r="K789" s="10" t="s">
        <v>49</v>
      </c>
      <c r="L789" s="10" t="s">
        <v>1841</v>
      </c>
    </row>
    <row r="790" customFormat="false" ht="23.85" hidden="false" customHeight="false" outlineLevel="0" collapsed="false">
      <c r="A790" s="10" t="s">
        <v>3287</v>
      </c>
      <c r="B790" s="10" t="s">
        <v>2127</v>
      </c>
      <c r="C790" s="10" t="s">
        <v>408</v>
      </c>
      <c r="D790" s="10" t="s">
        <v>1988</v>
      </c>
      <c r="E790" s="10" t="s">
        <v>409</v>
      </c>
      <c r="F790" s="10"/>
      <c r="G790" s="11" t="s">
        <v>1989</v>
      </c>
      <c r="H790" s="10" t="n">
        <v>2024</v>
      </c>
      <c r="I790" s="10" t="s">
        <v>3288</v>
      </c>
      <c r="J790" s="11" t="s">
        <v>560</v>
      </c>
      <c r="K790" s="10" t="s">
        <v>61</v>
      </c>
      <c r="L790" s="10" t="s">
        <v>1991</v>
      </c>
    </row>
    <row r="791" customFormat="false" ht="35.05" hidden="false" customHeight="false" outlineLevel="0" collapsed="false">
      <c r="A791" s="10" t="s">
        <v>3289</v>
      </c>
      <c r="B791" s="10" t="s">
        <v>2127</v>
      </c>
      <c r="C791" s="10" t="s">
        <v>408</v>
      </c>
      <c r="D791" s="10" t="s">
        <v>1306</v>
      </c>
      <c r="E791" s="10" t="s">
        <v>409</v>
      </c>
      <c r="F791" s="10"/>
      <c r="G791" s="11" t="s">
        <v>1307</v>
      </c>
      <c r="H791" s="10" t="n">
        <v>2022</v>
      </c>
      <c r="I791" s="10" t="s">
        <v>3290</v>
      </c>
      <c r="J791" s="11" t="s">
        <v>3291</v>
      </c>
      <c r="K791" s="10" t="s">
        <v>49</v>
      </c>
      <c r="L791" s="10" t="s">
        <v>1310</v>
      </c>
    </row>
    <row r="792" customFormat="false" ht="23.85" hidden="false" customHeight="false" outlineLevel="0" collapsed="false">
      <c r="A792" s="10" t="s">
        <v>3292</v>
      </c>
      <c r="B792" s="10" t="s">
        <v>2127</v>
      </c>
      <c r="C792" s="10" t="s">
        <v>408</v>
      </c>
      <c r="D792" s="10" t="s">
        <v>1234</v>
      </c>
      <c r="E792" s="10" t="s">
        <v>409</v>
      </c>
      <c r="F792" s="10"/>
      <c r="G792" s="11" t="s">
        <v>1235</v>
      </c>
      <c r="H792" s="10" t="n">
        <v>2025</v>
      </c>
      <c r="I792" s="10" t="s">
        <v>3293</v>
      </c>
      <c r="J792" s="11" t="s">
        <v>2480</v>
      </c>
      <c r="K792" s="10" t="s">
        <v>49</v>
      </c>
      <c r="L792" s="10" t="s">
        <v>1237</v>
      </c>
    </row>
    <row r="793" customFormat="false" ht="23.85" hidden="false" customHeight="false" outlineLevel="0" collapsed="false">
      <c r="A793" s="10" t="s">
        <v>3294</v>
      </c>
      <c r="B793" s="10" t="s">
        <v>2127</v>
      </c>
      <c r="C793" s="10" t="s">
        <v>408</v>
      </c>
      <c r="D793" s="10" t="s">
        <v>979</v>
      </c>
      <c r="E793" s="10" t="s">
        <v>409</v>
      </c>
      <c r="F793" s="10"/>
      <c r="G793" s="11" t="s">
        <v>980</v>
      </c>
      <c r="H793" s="10" t="n">
        <v>2025</v>
      </c>
      <c r="I793" s="10" t="s">
        <v>3295</v>
      </c>
      <c r="J793" s="11" t="s">
        <v>2480</v>
      </c>
      <c r="K793" s="10" t="s">
        <v>49</v>
      </c>
      <c r="L793" s="10" t="s">
        <v>982</v>
      </c>
    </row>
    <row r="794" customFormat="false" ht="23.85" hidden="false" customHeight="false" outlineLevel="0" collapsed="false">
      <c r="A794" s="10" t="s">
        <v>3296</v>
      </c>
      <c r="B794" s="10" t="s">
        <v>2127</v>
      </c>
      <c r="C794" s="10" t="s">
        <v>408</v>
      </c>
      <c r="D794" s="10" t="s">
        <v>2045</v>
      </c>
      <c r="E794" s="10" t="s">
        <v>409</v>
      </c>
      <c r="F794" s="10"/>
      <c r="G794" s="11" t="s">
        <v>2046</v>
      </c>
      <c r="H794" s="10" t="n">
        <v>2025</v>
      </c>
      <c r="I794" s="10" t="s">
        <v>3297</v>
      </c>
      <c r="J794" s="11" t="s">
        <v>3298</v>
      </c>
      <c r="K794" s="10" t="s">
        <v>49</v>
      </c>
      <c r="L794" s="10" t="s">
        <v>2049</v>
      </c>
    </row>
    <row r="795" customFormat="false" ht="23.85" hidden="false" customHeight="false" outlineLevel="0" collapsed="false">
      <c r="A795" s="10" t="s">
        <v>3299</v>
      </c>
      <c r="B795" s="10" t="s">
        <v>2127</v>
      </c>
      <c r="C795" s="10" t="s">
        <v>408</v>
      </c>
      <c r="D795" s="10" t="s">
        <v>1328</v>
      </c>
      <c r="E795" s="10" t="s">
        <v>409</v>
      </c>
      <c r="F795" s="10"/>
      <c r="G795" s="11" t="s">
        <v>1329</v>
      </c>
      <c r="H795" s="10" t="n">
        <v>2025</v>
      </c>
      <c r="I795" s="10" t="s">
        <v>2299</v>
      </c>
      <c r="J795" s="11" t="s">
        <v>2462</v>
      </c>
      <c r="K795" s="10" t="s">
        <v>49</v>
      </c>
      <c r="L795" s="10" t="s">
        <v>1330</v>
      </c>
    </row>
    <row r="796" customFormat="false" ht="35.05" hidden="false" customHeight="false" outlineLevel="0" collapsed="false">
      <c r="A796" s="10" t="s">
        <v>3300</v>
      </c>
      <c r="B796" s="10" t="s">
        <v>2127</v>
      </c>
      <c r="C796" s="10" t="s">
        <v>45</v>
      </c>
      <c r="D796" s="10"/>
      <c r="E796" s="10"/>
      <c r="F796" s="10" t="s">
        <v>2127</v>
      </c>
      <c r="G796" s="11" t="s">
        <v>3301</v>
      </c>
      <c r="H796" s="10" t="n">
        <v>2026</v>
      </c>
      <c r="I796" s="10"/>
      <c r="J796" s="11" t="s">
        <v>3027</v>
      </c>
      <c r="K796" s="10" t="s">
        <v>49</v>
      </c>
      <c r="L796" s="10" t="s">
        <v>3302</v>
      </c>
    </row>
    <row r="797" customFormat="false" ht="15" hidden="false" customHeight="false" outlineLevel="0" collapsed="false">
      <c r="A797" s="10" t="s">
        <v>3303</v>
      </c>
      <c r="B797" s="10" t="s">
        <v>2127</v>
      </c>
      <c r="C797" s="10" t="s">
        <v>408</v>
      </c>
      <c r="D797" s="10" t="s">
        <v>1791</v>
      </c>
      <c r="E797" s="10" t="s">
        <v>409</v>
      </c>
      <c r="F797" s="10"/>
      <c r="G797" s="11" t="s">
        <v>1792</v>
      </c>
      <c r="H797" s="10" t="n">
        <v>2025</v>
      </c>
      <c r="I797" s="10" t="s">
        <v>3304</v>
      </c>
      <c r="J797" s="11" t="s">
        <v>349</v>
      </c>
      <c r="K797" s="10" t="s">
        <v>61</v>
      </c>
      <c r="L797" s="10" t="s">
        <v>1794</v>
      </c>
    </row>
    <row r="798" customFormat="false" ht="23.85" hidden="false" customHeight="false" outlineLevel="0" collapsed="false">
      <c r="A798" s="10" t="s">
        <v>3305</v>
      </c>
      <c r="B798" s="10" t="s">
        <v>2127</v>
      </c>
      <c r="C798" s="10" t="s">
        <v>408</v>
      </c>
      <c r="D798" s="10" t="s">
        <v>1797</v>
      </c>
      <c r="E798" s="10" t="s">
        <v>409</v>
      </c>
      <c r="F798" s="10"/>
      <c r="G798" s="11" t="s">
        <v>1798</v>
      </c>
      <c r="H798" s="10" t="n">
        <v>2025</v>
      </c>
      <c r="I798" s="10" t="s">
        <v>3306</v>
      </c>
      <c r="J798" s="11" t="s">
        <v>3307</v>
      </c>
      <c r="K798" s="10" t="s">
        <v>49</v>
      </c>
      <c r="L798" s="10" t="s">
        <v>1801</v>
      </c>
    </row>
    <row r="799" customFormat="false" ht="23.85" hidden="false" customHeight="false" outlineLevel="0" collapsed="false">
      <c r="A799" s="10" t="s">
        <v>3308</v>
      </c>
      <c r="B799" s="10" t="s">
        <v>2127</v>
      </c>
      <c r="C799" s="10" t="s">
        <v>45</v>
      </c>
      <c r="D799" s="10"/>
      <c r="E799" s="10"/>
      <c r="F799" s="10" t="s">
        <v>2127</v>
      </c>
      <c r="G799" s="11" t="s">
        <v>3309</v>
      </c>
      <c r="H799" s="10" t="n">
        <v>2024</v>
      </c>
      <c r="I799" s="10" t="s">
        <v>3310</v>
      </c>
      <c r="J799" s="11" t="s">
        <v>3311</v>
      </c>
      <c r="K799" s="10" t="s">
        <v>49</v>
      </c>
      <c r="L799" s="10" t="s">
        <v>3312</v>
      </c>
    </row>
    <row r="800" customFormat="false" ht="35.05" hidden="false" customHeight="false" outlineLevel="0" collapsed="false">
      <c r="A800" s="10" t="s">
        <v>3313</v>
      </c>
      <c r="B800" s="10" t="s">
        <v>3314</v>
      </c>
      <c r="C800" s="10" t="s">
        <v>408</v>
      </c>
      <c r="D800" s="10" t="s">
        <v>1084</v>
      </c>
      <c r="E800" s="10" t="s">
        <v>409</v>
      </c>
      <c r="F800" s="10"/>
      <c r="G800" s="11" t="s">
        <v>1085</v>
      </c>
      <c r="H800" s="10" t="n">
        <v>2026</v>
      </c>
      <c r="I800" s="10" t="s">
        <v>3315</v>
      </c>
      <c r="J800" s="11" t="s">
        <v>3316</v>
      </c>
      <c r="K800" s="10" t="s">
        <v>49</v>
      </c>
      <c r="L800" s="10" t="s">
        <v>1088</v>
      </c>
    </row>
    <row r="801" customFormat="false" ht="35.05" hidden="false" customHeight="false" outlineLevel="0" collapsed="false">
      <c r="A801" s="10" t="s">
        <v>3317</v>
      </c>
      <c r="B801" s="10" t="s">
        <v>3314</v>
      </c>
      <c r="C801" s="10" t="s">
        <v>408</v>
      </c>
      <c r="D801" s="10" t="s">
        <v>447</v>
      </c>
      <c r="E801" s="10" t="s">
        <v>409</v>
      </c>
      <c r="F801" s="10"/>
      <c r="G801" s="11" t="s">
        <v>448</v>
      </c>
      <c r="H801" s="10" t="n">
        <v>2025</v>
      </c>
      <c r="I801" s="10" t="s">
        <v>3318</v>
      </c>
      <c r="J801" s="11" t="s">
        <v>3319</v>
      </c>
      <c r="K801" s="10" t="s">
        <v>49</v>
      </c>
      <c r="L801" s="10" t="s">
        <v>451</v>
      </c>
    </row>
    <row r="802" customFormat="false" ht="35.05" hidden="false" customHeight="false" outlineLevel="0" collapsed="false">
      <c r="A802" s="10" t="s">
        <v>3320</v>
      </c>
      <c r="B802" s="10" t="s">
        <v>3314</v>
      </c>
      <c r="C802" s="10" t="s">
        <v>408</v>
      </c>
      <c r="D802" s="10" t="s">
        <v>626</v>
      </c>
      <c r="E802" s="10" t="s">
        <v>2110</v>
      </c>
      <c r="F802" s="10"/>
      <c r="G802" s="11" t="s">
        <v>627</v>
      </c>
      <c r="H802" s="10" t="n">
        <v>2023</v>
      </c>
      <c r="I802" s="10" t="s">
        <v>3321</v>
      </c>
      <c r="J802" s="11" t="s">
        <v>3322</v>
      </c>
      <c r="K802" s="10" t="s">
        <v>49</v>
      </c>
      <c r="L802" s="10"/>
    </row>
    <row r="803" customFormat="false" ht="35.05" hidden="false" customHeight="false" outlineLevel="0" collapsed="false">
      <c r="A803" s="10" t="s">
        <v>3323</v>
      </c>
      <c r="B803" s="10" t="s">
        <v>3314</v>
      </c>
      <c r="C803" s="10" t="s">
        <v>408</v>
      </c>
      <c r="D803" s="10" t="s">
        <v>1952</v>
      </c>
      <c r="E803" s="10" t="s">
        <v>409</v>
      </c>
      <c r="F803" s="10"/>
      <c r="G803" s="11" t="s">
        <v>1953</v>
      </c>
      <c r="H803" s="10" t="n">
        <v>2026</v>
      </c>
      <c r="I803" s="10" t="s">
        <v>3324</v>
      </c>
      <c r="J803" s="11" t="s">
        <v>3325</v>
      </c>
      <c r="K803" s="10" t="s">
        <v>49</v>
      </c>
      <c r="L803" s="10" t="s">
        <v>1956</v>
      </c>
    </row>
    <row r="804" customFormat="false" ht="23.85" hidden="false" customHeight="false" outlineLevel="0" collapsed="false">
      <c r="A804" s="10" t="s">
        <v>3326</v>
      </c>
      <c r="B804" s="10" t="s">
        <v>3314</v>
      </c>
      <c r="C804" s="10" t="s">
        <v>408</v>
      </c>
      <c r="D804" s="10" t="s">
        <v>763</v>
      </c>
      <c r="E804" s="10" t="s">
        <v>409</v>
      </c>
      <c r="F804" s="10"/>
      <c r="G804" s="11" t="s">
        <v>764</v>
      </c>
      <c r="H804" s="10" t="n">
        <v>2026</v>
      </c>
      <c r="I804" s="10" t="s">
        <v>3327</v>
      </c>
      <c r="J804" s="11" t="s">
        <v>3328</v>
      </c>
      <c r="K804" s="10" t="s">
        <v>49</v>
      </c>
      <c r="L804" s="10" t="s">
        <v>766</v>
      </c>
    </row>
    <row r="805" customFormat="false" ht="23.85" hidden="false" customHeight="false" outlineLevel="0" collapsed="false">
      <c r="A805" s="10" t="s">
        <v>3329</v>
      </c>
      <c r="B805" s="10" t="s">
        <v>3314</v>
      </c>
      <c r="C805" s="10" t="s">
        <v>45</v>
      </c>
      <c r="D805" s="10"/>
      <c r="E805" s="10"/>
      <c r="F805" s="10" t="s">
        <v>3314</v>
      </c>
      <c r="G805" s="11" t="s">
        <v>3330</v>
      </c>
      <c r="H805" s="10" t="n">
        <v>2026</v>
      </c>
      <c r="I805" s="10" t="s">
        <v>3331</v>
      </c>
      <c r="J805" s="11" t="s">
        <v>3332</v>
      </c>
      <c r="K805" s="10" t="s">
        <v>49</v>
      </c>
      <c r="L805" s="10" t="s">
        <v>3333</v>
      </c>
    </row>
    <row r="806" customFormat="false" ht="35.05" hidden="false" customHeight="false" outlineLevel="0" collapsed="false">
      <c r="A806" s="10" t="s">
        <v>3334</v>
      </c>
      <c r="B806" s="10" t="s">
        <v>3314</v>
      </c>
      <c r="C806" s="10" t="s">
        <v>45</v>
      </c>
      <c r="D806" s="10"/>
      <c r="E806" s="10"/>
      <c r="F806" s="10" t="s">
        <v>3314</v>
      </c>
      <c r="G806" s="11" t="s">
        <v>3335</v>
      </c>
      <c r="H806" s="10" t="n">
        <v>2026</v>
      </c>
      <c r="I806" s="10" t="s">
        <v>3336</v>
      </c>
      <c r="J806" s="11" t="s">
        <v>3337</v>
      </c>
      <c r="K806" s="10" t="s">
        <v>49</v>
      </c>
      <c r="L806" s="10" t="s">
        <v>3338</v>
      </c>
    </row>
    <row r="807" customFormat="false" ht="15" hidden="false" customHeight="false" outlineLevel="0" collapsed="false">
      <c r="A807" s="10" t="s">
        <v>3339</v>
      </c>
      <c r="B807" s="10" t="s">
        <v>3314</v>
      </c>
      <c r="C807" s="10" t="s">
        <v>45</v>
      </c>
      <c r="D807" s="10"/>
      <c r="E807" s="10"/>
      <c r="F807" s="10" t="s">
        <v>3314</v>
      </c>
      <c r="G807" s="11" t="s">
        <v>3340</v>
      </c>
      <c r="H807" s="10" t="n">
        <v>2026</v>
      </c>
      <c r="I807" s="10" t="s">
        <v>3341</v>
      </c>
      <c r="J807" s="11" t="s">
        <v>3342</v>
      </c>
      <c r="K807" s="10" t="s">
        <v>61</v>
      </c>
      <c r="L807" s="10" t="s">
        <v>3343</v>
      </c>
    </row>
    <row r="808" customFormat="false" ht="35.05" hidden="false" customHeight="false" outlineLevel="0" collapsed="false">
      <c r="A808" s="10" t="s">
        <v>3344</v>
      </c>
      <c r="B808" s="10" t="s">
        <v>3314</v>
      </c>
      <c r="C808" s="10" t="s">
        <v>408</v>
      </c>
      <c r="D808" s="10" t="s">
        <v>803</v>
      </c>
      <c r="E808" s="10" t="s">
        <v>2110</v>
      </c>
      <c r="F808" s="10"/>
      <c r="G808" s="11" t="s">
        <v>804</v>
      </c>
      <c r="H808" s="10" t="n">
        <v>2023</v>
      </c>
      <c r="I808" s="10" t="s">
        <v>3345</v>
      </c>
      <c r="J808" s="11" t="s">
        <v>3322</v>
      </c>
      <c r="K808" s="10" t="s">
        <v>49</v>
      </c>
      <c r="L808" s="10"/>
    </row>
    <row r="809" customFormat="false" ht="35.05" hidden="false" customHeight="false" outlineLevel="0" collapsed="false">
      <c r="A809" s="10" t="s">
        <v>3346</v>
      </c>
      <c r="B809" s="10" t="s">
        <v>3314</v>
      </c>
      <c r="C809" s="10" t="s">
        <v>408</v>
      </c>
      <c r="D809" s="10" t="s">
        <v>634</v>
      </c>
      <c r="E809" s="10" t="s">
        <v>409</v>
      </c>
      <c r="F809" s="10"/>
      <c r="G809" s="11" t="s">
        <v>635</v>
      </c>
      <c r="H809" s="10" t="n">
        <v>2026</v>
      </c>
      <c r="I809" s="10" t="s">
        <v>3347</v>
      </c>
      <c r="J809" s="11" t="s">
        <v>3348</v>
      </c>
      <c r="K809" s="10" t="s">
        <v>49</v>
      </c>
      <c r="L809" s="10" t="s">
        <v>637</v>
      </c>
    </row>
    <row r="810" customFormat="false" ht="23.85" hidden="false" customHeight="false" outlineLevel="0" collapsed="false">
      <c r="A810" s="10" t="s">
        <v>3349</v>
      </c>
      <c r="B810" s="10" t="s">
        <v>3314</v>
      </c>
      <c r="C810" s="10" t="s">
        <v>408</v>
      </c>
      <c r="D810" s="10" t="s">
        <v>169</v>
      </c>
      <c r="E810" s="10" t="s">
        <v>409</v>
      </c>
      <c r="F810" s="10"/>
      <c r="G810" s="11" t="s">
        <v>171</v>
      </c>
      <c r="H810" s="10" t="n">
        <v>2023</v>
      </c>
      <c r="I810" s="10" t="s">
        <v>3350</v>
      </c>
      <c r="J810" s="11" t="s">
        <v>3351</v>
      </c>
      <c r="K810" s="10" t="s">
        <v>49</v>
      </c>
      <c r="L810" s="10" t="s">
        <v>174</v>
      </c>
    </row>
    <row r="811" customFormat="false" ht="35.05" hidden="false" customHeight="false" outlineLevel="0" collapsed="false">
      <c r="A811" s="10" t="s">
        <v>3352</v>
      </c>
      <c r="B811" s="10" t="s">
        <v>3314</v>
      </c>
      <c r="C811" s="10" t="s">
        <v>408</v>
      </c>
      <c r="D811" s="10" t="s">
        <v>225</v>
      </c>
      <c r="E811" s="10" t="s">
        <v>409</v>
      </c>
      <c r="F811" s="10"/>
      <c r="G811" s="11" t="s">
        <v>3353</v>
      </c>
      <c r="H811" s="10" t="n">
        <v>2019</v>
      </c>
      <c r="I811" s="10" t="s">
        <v>3354</v>
      </c>
      <c r="J811" s="11" t="s">
        <v>3355</v>
      </c>
      <c r="K811" s="10" t="s">
        <v>49</v>
      </c>
      <c r="L811" s="10" t="s">
        <v>229</v>
      </c>
    </row>
    <row r="812" customFormat="false" ht="23.85" hidden="false" customHeight="false" outlineLevel="0" collapsed="false">
      <c r="A812" s="10" t="s">
        <v>3356</v>
      </c>
      <c r="B812" s="10" t="s">
        <v>3314</v>
      </c>
      <c r="C812" s="10" t="s">
        <v>408</v>
      </c>
      <c r="D812" s="10" t="s">
        <v>1528</v>
      </c>
      <c r="E812" s="10" t="s">
        <v>409</v>
      </c>
      <c r="F812" s="10"/>
      <c r="G812" s="11" t="s">
        <v>1529</v>
      </c>
      <c r="H812" s="10" t="n">
        <v>2023</v>
      </c>
      <c r="I812" s="10" t="s">
        <v>3357</v>
      </c>
      <c r="J812" s="11" t="s">
        <v>3358</v>
      </c>
      <c r="K812" s="10" t="s">
        <v>61</v>
      </c>
      <c r="L812" s="10" t="s">
        <v>1531</v>
      </c>
    </row>
    <row r="813" customFormat="false" ht="23.85" hidden="false" customHeight="false" outlineLevel="0" collapsed="false">
      <c r="A813" s="10" t="s">
        <v>3359</v>
      </c>
      <c r="B813" s="10" t="s">
        <v>3314</v>
      </c>
      <c r="C813" s="10" t="s">
        <v>408</v>
      </c>
      <c r="D813" s="10" t="s">
        <v>1357</v>
      </c>
      <c r="E813" s="10" t="s">
        <v>409</v>
      </c>
      <c r="F813" s="10"/>
      <c r="G813" s="11" t="s">
        <v>3360</v>
      </c>
      <c r="H813" s="10" t="n">
        <v>2018</v>
      </c>
      <c r="I813" s="10" t="s">
        <v>3361</v>
      </c>
      <c r="J813" s="11" t="s">
        <v>3362</v>
      </c>
      <c r="K813" s="10" t="s">
        <v>49</v>
      </c>
      <c r="L813" s="10" t="s">
        <v>1361</v>
      </c>
    </row>
    <row r="814" customFormat="false" ht="35.05" hidden="false" customHeight="false" outlineLevel="0" collapsed="false">
      <c r="A814" s="10" t="s">
        <v>3363</v>
      </c>
      <c r="B814" s="10" t="s">
        <v>3314</v>
      </c>
      <c r="C814" s="10" t="s">
        <v>408</v>
      </c>
      <c r="D814" s="10" t="s">
        <v>1231</v>
      </c>
      <c r="E814" s="10" t="s">
        <v>2110</v>
      </c>
      <c r="F814" s="10"/>
      <c r="G814" s="11" t="s">
        <v>1232</v>
      </c>
      <c r="H814" s="10" t="n">
        <v>2024</v>
      </c>
      <c r="I814" s="10" t="s">
        <v>3364</v>
      </c>
      <c r="J814" s="11" t="s">
        <v>3365</v>
      </c>
      <c r="K814" s="10" t="s">
        <v>49</v>
      </c>
      <c r="L814" s="10"/>
    </row>
    <row r="815" customFormat="false" ht="35.05" hidden="false" customHeight="false" outlineLevel="0" collapsed="false">
      <c r="A815" s="10" t="s">
        <v>3366</v>
      </c>
      <c r="B815" s="10" t="s">
        <v>3314</v>
      </c>
      <c r="C815" s="10" t="s">
        <v>408</v>
      </c>
      <c r="D815" s="10" t="s">
        <v>430</v>
      </c>
      <c r="E815" s="10" t="s">
        <v>409</v>
      </c>
      <c r="F815" s="10"/>
      <c r="G815" s="11" t="s">
        <v>431</v>
      </c>
      <c r="H815" s="10" t="n">
        <v>2026</v>
      </c>
      <c r="I815" s="10" t="s">
        <v>3367</v>
      </c>
      <c r="J815" s="11" t="s">
        <v>3368</v>
      </c>
      <c r="K815" s="10" t="s">
        <v>49</v>
      </c>
      <c r="L815" s="10" t="s">
        <v>434</v>
      </c>
    </row>
    <row r="816" customFormat="false" ht="23.85" hidden="false" customHeight="false" outlineLevel="0" collapsed="false">
      <c r="A816" s="10" t="s">
        <v>3369</v>
      </c>
      <c r="B816" s="10" t="s">
        <v>3314</v>
      </c>
      <c r="C816" s="10" t="s">
        <v>408</v>
      </c>
      <c r="D816" s="10" t="s">
        <v>1146</v>
      </c>
      <c r="E816" s="10" t="s">
        <v>409</v>
      </c>
      <c r="F816" s="10"/>
      <c r="G816" s="11" t="s">
        <v>1147</v>
      </c>
      <c r="H816" s="10" t="n">
        <v>2024</v>
      </c>
      <c r="I816" s="10" t="s">
        <v>3370</v>
      </c>
      <c r="J816" s="11" t="s">
        <v>3371</v>
      </c>
      <c r="K816" s="10" t="s">
        <v>49</v>
      </c>
      <c r="L816" s="10" t="s">
        <v>1149</v>
      </c>
    </row>
    <row r="817" customFormat="false" ht="35.05" hidden="false" customHeight="false" outlineLevel="0" collapsed="false">
      <c r="A817" s="10" t="s">
        <v>3372</v>
      </c>
      <c r="B817" s="10" t="s">
        <v>3314</v>
      </c>
      <c r="C817" s="10" t="s">
        <v>45</v>
      </c>
      <c r="D817" s="10"/>
      <c r="E817" s="10"/>
      <c r="F817" s="10" t="s">
        <v>3314</v>
      </c>
      <c r="G817" s="11" t="s">
        <v>3373</v>
      </c>
      <c r="H817" s="10" t="n">
        <v>2026</v>
      </c>
      <c r="I817" s="10" t="s">
        <v>3374</v>
      </c>
      <c r="J817" s="11" t="s">
        <v>3375</v>
      </c>
      <c r="K817" s="10" t="s">
        <v>49</v>
      </c>
      <c r="L817" s="10" t="s">
        <v>3376</v>
      </c>
    </row>
    <row r="818" customFormat="false" ht="15" hidden="false" customHeight="false" outlineLevel="0" collapsed="false">
      <c r="A818" s="10" t="s">
        <v>3377</v>
      </c>
      <c r="B818" s="10" t="s">
        <v>3314</v>
      </c>
      <c r="C818" s="10" t="s">
        <v>408</v>
      </c>
      <c r="D818" s="10" t="s">
        <v>175</v>
      </c>
      <c r="E818" s="10" t="s">
        <v>409</v>
      </c>
      <c r="F818" s="10"/>
      <c r="G818" s="11" t="s">
        <v>176</v>
      </c>
      <c r="H818" s="10" t="n">
        <v>2024</v>
      </c>
      <c r="I818" s="10" t="s">
        <v>3378</v>
      </c>
      <c r="J818" s="11" t="s">
        <v>3358</v>
      </c>
      <c r="K818" s="10" t="s">
        <v>61</v>
      </c>
      <c r="L818" s="10" t="s">
        <v>179</v>
      </c>
    </row>
    <row r="819" customFormat="false" ht="23.85" hidden="false" customHeight="false" outlineLevel="0" collapsed="false">
      <c r="A819" s="10" t="s">
        <v>3379</v>
      </c>
      <c r="B819" s="10" t="s">
        <v>3314</v>
      </c>
      <c r="C819" s="10" t="s">
        <v>408</v>
      </c>
      <c r="D819" s="10" t="s">
        <v>798</v>
      </c>
      <c r="E819" s="10" t="s">
        <v>409</v>
      </c>
      <c r="F819" s="10"/>
      <c r="G819" s="11" t="s">
        <v>799</v>
      </c>
      <c r="H819" s="10" t="n">
        <v>2025</v>
      </c>
      <c r="I819" s="10" t="s">
        <v>3380</v>
      </c>
      <c r="J819" s="11" t="s">
        <v>3381</v>
      </c>
      <c r="K819" s="10" t="s">
        <v>49</v>
      </c>
      <c r="L819" s="10" t="s">
        <v>802</v>
      </c>
    </row>
    <row r="820" customFormat="false" ht="23.85" hidden="false" customHeight="false" outlineLevel="0" collapsed="false">
      <c r="A820" s="10" t="s">
        <v>3382</v>
      </c>
      <c r="B820" s="10" t="s">
        <v>3314</v>
      </c>
      <c r="C820" s="10" t="s">
        <v>408</v>
      </c>
      <c r="D820" s="10" t="s">
        <v>1783</v>
      </c>
      <c r="E820" s="10" t="s">
        <v>2110</v>
      </c>
      <c r="F820" s="10"/>
      <c r="G820" s="11" t="s">
        <v>3383</v>
      </c>
      <c r="H820" s="10" t="n">
        <v>2025</v>
      </c>
      <c r="I820" s="10" t="s">
        <v>3384</v>
      </c>
      <c r="J820" s="11" t="s">
        <v>3385</v>
      </c>
      <c r="K820" s="10" t="s">
        <v>49</v>
      </c>
      <c r="L820" s="10"/>
    </row>
    <row r="821" customFormat="false" ht="15" hidden="false" customHeight="false" outlineLevel="0" collapsed="false">
      <c r="A821" s="10" t="s">
        <v>3386</v>
      </c>
      <c r="B821" s="10" t="s">
        <v>3314</v>
      </c>
      <c r="C821" s="10" t="s">
        <v>408</v>
      </c>
      <c r="D821" s="10" t="s">
        <v>194</v>
      </c>
      <c r="E821" s="10" t="s">
        <v>2110</v>
      </c>
      <c r="F821" s="10"/>
      <c r="G821" s="11" t="s">
        <v>3387</v>
      </c>
      <c r="H821" s="10" t="n">
        <v>2024</v>
      </c>
      <c r="I821" s="10" t="s">
        <v>3388</v>
      </c>
      <c r="J821" s="11" t="s">
        <v>3389</v>
      </c>
      <c r="K821" s="10" t="s">
        <v>61</v>
      </c>
      <c r="L821" s="10"/>
    </row>
    <row r="822" customFormat="false" ht="35.05" hidden="false" customHeight="false" outlineLevel="0" collapsed="false">
      <c r="A822" s="10" t="s">
        <v>3390</v>
      </c>
      <c r="B822" s="10" t="s">
        <v>3314</v>
      </c>
      <c r="C822" s="10" t="s">
        <v>408</v>
      </c>
      <c r="D822" s="10" t="s">
        <v>1916</v>
      </c>
      <c r="E822" s="10" t="s">
        <v>409</v>
      </c>
      <c r="F822" s="10"/>
      <c r="G822" s="11" t="s">
        <v>1917</v>
      </c>
      <c r="H822" s="10" t="n">
        <v>2026</v>
      </c>
      <c r="I822" s="10" t="s">
        <v>3391</v>
      </c>
      <c r="J822" s="11" t="s">
        <v>3392</v>
      </c>
      <c r="K822" s="10" t="s">
        <v>49</v>
      </c>
      <c r="L822" s="10" t="s">
        <v>1919</v>
      </c>
    </row>
    <row r="823" customFormat="false" ht="35.05" hidden="false" customHeight="false" outlineLevel="0" collapsed="false">
      <c r="A823" s="10" t="s">
        <v>3393</v>
      </c>
      <c r="B823" s="10" t="s">
        <v>3314</v>
      </c>
      <c r="C823" s="10" t="s">
        <v>408</v>
      </c>
      <c r="D823" s="10" t="s">
        <v>1412</v>
      </c>
      <c r="E823" s="10" t="s">
        <v>409</v>
      </c>
      <c r="F823" s="10"/>
      <c r="G823" s="11" t="s">
        <v>1413</v>
      </c>
      <c r="H823" s="10" t="n">
        <v>2025</v>
      </c>
      <c r="I823" s="10" t="s">
        <v>3394</v>
      </c>
      <c r="J823" s="11" t="s">
        <v>3395</v>
      </c>
      <c r="K823" s="10" t="s">
        <v>49</v>
      </c>
      <c r="L823" s="10" t="s">
        <v>1416</v>
      </c>
    </row>
    <row r="824" customFormat="false" ht="23.85" hidden="false" customHeight="false" outlineLevel="0" collapsed="false">
      <c r="A824" s="10" t="s">
        <v>3396</v>
      </c>
      <c r="B824" s="10" t="s">
        <v>3314</v>
      </c>
      <c r="C824" s="10" t="s">
        <v>408</v>
      </c>
      <c r="D824" s="10" t="s">
        <v>1050</v>
      </c>
      <c r="E824" s="10" t="s">
        <v>409</v>
      </c>
      <c r="F824" s="10"/>
      <c r="G824" s="11" t="s">
        <v>1051</v>
      </c>
      <c r="H824" s="10" t="n">
        <v>2026</v>
      </c>
      <c r="I824" s="10" t="s">
        <v>3397</v>
      </c>
      <c r="J824" s="11" t="s">
        <v>3398</v>
      </c>
      <c r="K824" s="10" t="s">
        <v>61</v>
      </c>
      <c r="L824" s="10" t="s">
        <v>1054</v>
      </c>
    </row>
    <row r="825" customFormat="false" ht="35.05" hidden="false" customHeight="false" outlineLevel="0" collapsed="false">
      <c r="A825" s="10" t="s">
        <v>3399</v>
      </c>
      <c r="B825" s="10" t="s">
        <v>3314</v>
      </c>
      <c r="C825" s="10" t="s">
        <v>408</v>
      </c>
      <c r="D825" s="10" t="s">
        <v>1771</v>
      </c>
      <c r="E825" s="10" t="s">
        <v>409</v>
      </c>
      <c r="F825" s="10"/>
      <c r="G825" s="11" t="s">
        <v>1772</v>
      </c>
      <c r="H825" s="10" t="n">
        <v>2024</v>
      </c>
      <c r="I825" s="10" t="s">
        <v>3400</v>
      </c>
      <c r="J825" s="11" t="s">
        <v>3401</v>
      </c>
      <c r="K825" s="10" t="s">
        <v>49</v>
      </c>
      <c r="L825" s="10" t="s">
        <v>1775</v>
      </c>
    </row>
    <row r="826" customFormat="false" ht="23.85" hidden="false" customHeight="false" outlineLevel="0" collapsed="false">
      <c r="A826" s="10" t="s">
        <v>3402</v>
      </c>
      <c r="B826" s="10" t="s">
        <v>3314</v>
      </c>
      <c r="C826" s="10" t="s">
        <v>408</v>
      </c>
      <c r="D826" s="10" t="s">
        <v>1314</v>
      </c>
      <c r="E826" s="10" t="s">
        <v>2110</v>
      </c>
      <c r="F826" s="10"/>
      <c r="G826" s="11" t="s">
        <v>863</v>
      </c>
      <c r="H826" s="10" t="n">
        <v>2023</v>
      </c>
      <c r="I826" s="10" t="s">
        <v>3403</v>
      </c>
      <c r="J826" s="11" t="s">
        <v>3389</v>
      </c>
      <c r="K826" s="10" t="s">
        <v>61</v>
      </c>
      <c r="L826" s="10"/>
    </row>
    <row r="827" customFormat="false" ht="23.85" hidden="false" customHeight="false" outlineLevel="0" collapsed="false">
      <c r="A827" s="10" t="s">
        <v>3404</v>
      </c>
      <c r="B827" s="10" t="s">
        <v>3314</v>
      </c>
      <c r="C827" s="10" t="s">
        <v>408</v>
      </c>
      <c r="D827" s="10" t="s">
        <v>1671</v>
      </c>
      <c r="E827" s="10" t="s">
        <v>409</v>
      </c>
      <c r="F827" s="10"/>
      <c r="G827" s="11" t="s">
        <v>1672</v>
      </c>
      <c r="H827" s="10" t="n">
        <v>2023</v>
      </c>
      <c r="I827" s="10" t="s">
        <v>3405</v>
      </c>
      <c r="J827" s="11" t="s">
        <v>3406</v>
      </c>
      <c r="K827" s="10" t="s">
        <v>49</v>
      </c>
      <c r="L827" s="10" t="s">
        <v>1675</v>
      </c>
    </row>
    <row r="828" customFormat="false" ht="23.85" hidden="false" customHeight="false" outlineLevel="0" collapsed="false">
      <c r="A828" s="10" t="s">
        <v>3407</v>
      </c>
      <c r="B828" s="10" t="s">
        <v>3314</v>
      </c>
      <c r="C828" s="10" t="s">
        <v>408</v>
      </c>
      <c r="D828" s="10" t="s">
        <v>2039</v>
      </c>
      <c r="E828" s="10" t="s">
        <v>409</v>
      </c>
      <c r="F828" s="10"/>
      <c r="G828" s="11" t="s">
        <v>3408</v>
      </c>
      <c r="H828" s="10" t="n">
        <v>2025</v>
      </c>
      <c r="I828" s="10" t="s">
        <v>3409</v>
      </c>
      <c r="J828" s="11" t="s">
        <v>3410</v>
      </c>
      <c r="K828" s="10" t="s">
        <v>49</v>
      </c>
      <c r="L828" s="10" t="s">
        <v>2044</v>
      </c>
    </row>
    <row r="829" customFormat="false" ht="35.05" hidden="false" customHeight="false" outlineLevel="0" collapsed="false">
      <c r="A829" s="10" t="s">
        <v>3411</v>
      </c>
      <c r="B829" s="10" t="s">
        <v>3314</v>
      </c>
      <c r="C829" s="10" t="s">
        <v>408</v>
      </c>
      <c r="D829" s="10" t="s">
        <v>929</v>
      </c>
      <c r="E829" s="10" t="s">
        <v>2110</v>
      </c>
      <c r="F829" s="10"/>
      <c r="G829" s="11" t="s">
        <v>930</v>
      </c>
      <c r="H829" s="10" t="n">
        <v>2024</v>
      </c>
      <c r="I829" s="10" t="s">
        <v>3412</v>
      </c>
      <c r="J829" s="11" t="s">
        <v>3365</v>
      </c>
      <c r="K829" s="10" t="s">
        <v>49</v>
      </c>
      <c r="L829" s="10"/>
    </row>
    <row r="830" customFormat="false" ht="23.85" hidden="false" customHeight="false" outlineLevel="0" collapsed="false">
      <c r="A830" s="10" t="s">
        <v>3413</v>
      </c>
      <c r="B830" s="10" t="s">
        <v>3314</v>
      </c>
      <c r="C830" s="10" t="s">
        <v>408</v>
      </c>
      <c r="D830" s="10" t="s">
        <v>2116</v>
      </c>
      <c r="E830" s="10" t="s">
        <v>2110</v>
      </c>
      <c r="F830" s="10"/>
      <c r="G830" s="11" t="s">
        <v>2117</v>
      </c>
      <c r="H830" s="10" t="n">
        <v>2022</v>
      </c>
      <c r="I830" s="10" t="s">
        <v>3414</v>
      </c>
      <c r="J830" s="11" t="s">
        <v>3415</v>
      </c>
      <c r="K830" s="10" t="s">
        <v>49</v>
      </c>
      <c r="L830" s="10"/>
    </row>
    <row r="831" customFormat="false" ht="35.05" hidden="false" customHeight="false" outlineLevel="0" collapsed="false">
      <c r="A831" s="10" t="s">
        <v>3416</v>
      </c>
      <c r="B831" s="10" t="s">
        <v>3314</v>
      </c>
      <c r="C831" s="10" t="s">
        <v>45</v>
      </c>
      <c r="D831" s="10"/>
      <c r="E831" s="10"/>
      <c r="F831" s="10" t="s">
        <v>3314</v>
      </c>
      <c r="G831" s="11" t="s">
        <v>3417</v>
      </c>
      <c r="H831" s="10" t="n">
        <v>2021</v>
      </c>
      <c r="I831" s="10" t="s">
        <v>3418</v>
      </c>
      <c r="J831" s="11" t="s">
        <v>3419</v>
      </c>
      <c r="K831" s="10" t="s">
        <v>49</v>
      </c>
      <c r="L831" s="10" t="s">
        <v>3420</v>
      </c>
    </row>
    <row r="832" customFormat="false" ht="23.85" hidden="false" customHeight="false" outlineLevel="0" collapsed="false">
      <c r="A832" s="10" t="s">
        <v>3421</v>
      </c>
      <c r="B832" s="10" t="s">
        <v>3314</v>
      </c>
      <c r="C832" s="10" t="s">
        <v>45</v>
      </c>
      <c r="D832" s="10"/>
      <c r="E832" s="10"/>
      <c r="F832" s="10" t="s">
        <v>3314</v>
      </c>
      <c r="G832" s="11" t="s">
        <v>3422</v>
      </c>
      <c r="H832" s="10" t="n">
        <v>2018</v>
      </c>
      <c r="I832" s="10" t="s">
        <v>3423</v>
      </c>
      <c r="J832" s="11" t="s">
        <v>3424</v>
      </c>
      <c r="K832" s="10" t="s">
        <v>49</v>
      </c>
      <c r="L832" s="10"/>
    </row>
    <row r="833" customFormat="false" ht="23.85" hidden="false" customHeight="false" outlineLevel="0" collapsed="false">
      <c r="A833" s="10" t="s">
        <v>3425</v>
      </c>
      <c r="B833" s="10" t="s">
        <v>3314</v>
      </c>
      <c r="C833" s="10" t="s">
        <v>408</v>
      </c>
      <c r="D833" s="10" t="s">
        <v>2121</v>
      </c>
      <c r="E833" s="10" t="s">
        <v>409</v>
      </c>
      <c r="F833" s="10"/>
      <c r="G833" s="11" t="s">
        <v>3426</v>
      </c>
      <c r="H833" s="10" t="n">
        <v>2018</v>
      </c>
      <c r="I833" s="10" t="s">
        <v>3427</v>
      </c>
      <c r="J833" s="11" t="s">
        <v>3428</v>
      </c>
      <c r="K833" s="10" t="s">
        <v>61</v>
      </c>
      <c r="L833" s="10" t="s">
        <v>2125</v>
      </c>
    </row>
    <row r="834" customFormat="false" ht="23.85" hidden="false" customHeight="false" outlineLevel="0" collapsed="false">
      <c r="A834" s="10" t="s">
        <v>3429</v>
      </c>
      <c r="B834" s="10" t="s">
        <v>3314</v>
      </c>
      <c r="C834" s="10" t="s">
        <v>408</v>
      </c>
      <c r="D834" s="10" t="s">
        <v>1983</v>
      </c>
      <c r="E834" s="10" t="s">
        <v>409</v>
      </c>
      <c r="F834" s="10"/>
      <c r="G834" s="11" t="s">
        <v>3430</v>
      </c>
      <c r="H834" s="10" t="n">
        <v>2018</v>
      </c>
      <c r="I834" s="10" t="s">
        <v>3431</v>
      </c>
      <c r="J834" s="11" t="s">
        <v>3432</v>
      </c>
      <c r="K834" s="10" t="s">
        <v>49</v>
      </c>
      <c r="L834" s="10" t="s">
        <v>1987</v>
      </c>
    </row>
  </sheetData>
  <autoFilter ref="A1:L834"/>
  <conditionalFormatting sqref="C2:C834">
    <cfRule type="expression" priority="2" aboveAverage="0" equalAverage="0" bottom="0" percent="0" rank="0" text="" dxfId="6">
      <formula>$C2="Duplicate"</formula>
    </cfRule>
    <cfRule type="expression" priority="3" aboveAverage="0" equalAverage="0" bottom="0" percent="0" rank="0" text="" dxfId="7">
      <formula>$C2="Ineligible type"</formula>
    </cfRule>
    <cfRule type="expression" priority="4" aboveAverage="0" equalAverage="0" bottom="0" percent="0" rank="0" text="" dxfId="8">
      <formula>$C2="Kept"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2026-10-16T11:32:03Z</dcterms:created>
  <dc:creator>openpyxl</dc:creator>
  <dc:description/>
  <dc:language>en-US</dc:language>
  <cp:lastModifiedBy/>
  <dcterms:modified xsi:type="dcterms:W3CDTF">2026-10-16T11:32:03Z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